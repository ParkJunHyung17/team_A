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drawings/drawing5.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1.0" lowestEdited="11.0" rupBuild="0.2292"/>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Users\dkdld\Desktop\2021 2학기 수업\프로젝트랩I\"/>
    </mc:Choice>
  </mc:AlternateContent>
  <x:bookViews>
    <x:workbookView xWindow="0" yWindow="0" windowWidth="15765" windowHeight="10920" tabRatio="453" firstSheet="1" activeTab="2"/>
  </x:bookViews>
  <x:sheets>
    <x:sheet name="Settings" sheetId="1" state="hidden" r:id="rId4"/>
    <x:sheet name="Help" sheetId="2" r:id="rId5"/>
    <x:sheet name="Schedule" sheetId="3" r:id="rId6"/>
    <x:sheet name="Progress" sheetId="4" r:id="rId7"/>
    <x:sheet name="AnalysisReport" sheetId="5" r:id="rId8"/>
    <x:sheet name="Calendar" sheetId="6" r:id="rId9"/>
    <x:sheet name="TranslatedLanguages" sheetId="7" state="hidden" r:id="rId10"/>
    <x:sheet name="Workload" sheetId="8" r:id="rId11"/>
    <x:sheet name="ServerData" sheetId="9" r:id="rId12"/>
  </x:sheets>
  <x:definedNames>
    <x:definedName name="_xlnm._FilterDatabase" localSheetId="2" hidden="1">Schedule!$P$3:$AB$4</x:definedName>
    <x:definedName name="ACTUAL_RATE">Progress!$B$21</x:definedName>
    <x:definedName name="ACTUAL_WORKLOAD">Progress!$B$12</x:definedName>
    <x:definedName name="ACTUAL_WORKLOAD2">Progress!$B$15</x:definedName>
    <x:definedName name="English_Name">TranslatedLanguages!$D$1</x:definedName>
    <x:definedName name="LOCAL_DATE_SEPARATOR" hidden="1">INDEX(GET.WORKSPACE(37),17)</x:definedName>
    <x:definedName name="LOCAL_DAY_FORMAT" hidden="1">INDEX(GET.WORKSPACE(37),21)</x:definedName>
    <x:definedName name="LOCAL_HOUR_FORMAT" hidden="1">INDEX(GET.WORKSPACE(37),22)</x:definedName>
    <x:definedName name="LOCAL_MINUTE_FORMAT" hidden="1">INDEX(GET.WORKSPACE(37),23)</x:definedName>
    <x:definedName name="LOCAL_MONTH_FORMAT" hidden="1">INDEX(GET.WORKSPACE(37),20)</x:definedName>
    <x: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SECOND_FORMAT" hidden="1">INDEX(GET.WORKSPACE(37),24)</x:definedName>
    <x:definedName name="LOCAL_TIME_SEPARATOR" hidden="1">INDEX(GET.WORKSPACE(37),18)</x:definedName>
    <x:definedName name="LOCAL_YEAR_FORMAT" hidden="1">INDEX(GET.WORKSPACE(37),19)</x:definedName>
    <x:definedName name="PLANNED_RATE">Progress!$B$18</x:definedName>
    <x:definedName name="PLANNED_WORKLOAD">Progress!$B$9</x:definedName>
    <x:definedName name="RATE_GAP">Progress!$B$24</x:definedName>
    <x:definedName name="RNG_ACTUAL_END_DATE_COL_NAME">Schedule!$X$3</x:definedName>
    <x:definedName name="RNG_ACTUAL_RATE_COL_NAME">Schedule!$AE$3</x:definedName>
    <x:definedName name="RNG_ACTUAL_START_DATE_COL_NAME">Schedule!$W$3</x:definedName>
    <x:definedName name="RNG_ACTUAL_TOTAL_DURATION_COL_NAME">Schedule!$Z$3</x:definedName>
    <x:definedName name="RNG_ACTUAL_TOTAL_WORKLOAD_COL_NAME">Schedule!$Y$3</x:definedName>
    <x:definedName name="RNG_CALENDAR_COL_NAME">Schedule!$R$3</x:definedName>
    <x:definedName name="RNG_DELIVERABLES_COL_NAME">Schedule!$AC$3</x:definedName>
    <x:definedName name="RNG_END_DATE_COL_NAME">Schedule!$Q$3</x:definedName>
    <x:definedName name="RNG_ETC_COL_NAME">Schedule!$O$3</x:definedName>
    <x:definedName name="RNG_GANTT_AREA_FIRST_COL_NAME">Schedule!$AF$4</x:definedName>
    <x:definedName name="RNG_PLAN_DURATION_COL_NAME">Schedule!$V$3</x:definedName>
    <x:definedName name="RNG_PLAN_RATE_COL_NAME">Schedule!$AD$3</x:definedName>
    <x:definedName name="RNG_PLAN_WORKLOAD_COL_NAME">Schedule!$T$3</x:definedName>
    <x:definedName name="RNG_RESOURCE_COL_NAME">Schedule!$AB$3</x:definedName>
    <x:definedName name="RNG_RESOURCE_WEIGHT_COL_NAME">Schedule!$AA$3</x:definedName>
    <x:definedName name="RNG_START_DATE_COL_NAME">Schedule!$P$3</x:definedName>
    <x:definedName name="RNG_TASK_FIRST_COL_NAME">Schedule!$E$3</x:definedName>
    <x:definedName name="RNG_TOTAL_DURATION_COL_NAME">Schedule!$U$3</x:definedName>
    <x:definedName name="RNG_TOTAL_WORKLOAD_COL_NAME">Schedule!$S$3</x:definedName>
    <x:definedName name="RNG_WBS_AREA_LAST_COL_NAME">Schedule!$AE$3</x:definedName>
    <x:definedName name="RNG_WBS_COL_NAME">Schedule!$D$3</x:definedName>
    <x:definedName name="RNG_WBS_LEVEL_COL_NAME">Schedule!$C$3</x:definedName>
    <x:definedName name="STD_CAL">'Calendar'!$B$5:$B$304</x:definedName>
    <x:definedName name="TOTAL_WORKLOAD">Progress!$B$6</x:definedName>
    <x:definedName name="UD_CAL1">'Calendar'!$E$5:$E$304</x:definedName>
    <x:definedName name="UD_CAL2">'Calendar'!$H$5:$H$304</x:definedName>
    <x:definedName name="Z_02FBC6E6_CD2B_48E2_BC55_64C05A10B473_.wvu.FilterData" localSheetId="2" hidden="1">Schedule!$E$4:$W$4</x:definedName>
    <x:definedName name="Z_0A64F8D9_59E4_4471_A54B_AB6085820F8B_.wvu.FilterData" localSheetId="2" hidden="1">Schedule!$E$4:$W$4</x:definedName>
    <x:definedName name="Z_0A64F8D9_59E4_4471_A54B_AB6085820F8B_.wvu.PrintArea" localSheetId="2" hidden="1">Schedule!$E$4:$AE$4</x:definedName>
    <x:definedName name="Z_0B810681_CC81_4141_9F16_24B3FD4F0FB8_.wvu.FilterData" localSheetId="2" hidden="1">Schedule!$E$4:$W$4</x:definedName>
    <x:definedName name="Z_0B810681_CC81_4141_9F16_24B3FD4F0FB8_.wvu.PrintArea" localSheetId="2" hidden="1">Schedule!$E$4:$AE$4</x:definedName>
    <x:definedName name="Z_45F170B6_3544_43F8_BFC7_D657B723AABC_.wvu.FilterData" localSheetId="2" hidden="1">Schedule!$E$4:$W$4</x:definedName>
    <x:definedName name="Z_45F170B6_3544_43F8_BFC7_D657B723AABC_.wvu.PrintArea" localSheetId="2" hidden="1">Schedule!$E$4:$AE$4</x:definedName>
    <x:definedName name="Z_6C04A49A_6140_42F5_B660_358F3428D555_.wvu.FilterData" localSheetId="2" hidden="1">Schedule!$E$4:$W$4</x:definedName>
    <x:definedName name="Z_6C04A49A_6140_42F5_B660_358F3428D555_.wvu.PrintArea" localSheetId="2" hidden="1">Schedule!$E$4:$AE$4</x:definedName>
    <x:definedName name="Z_717B341C_ADF7_4494_8FE3_F9159C14788B_.wvu.FilterData" localSheetId="2" hidden="1">Schedule!$E$4:$W$4</x:definedName>
    <x:definedName name="Z_96DEAA77_2828_4E97_975A_CF93EF5D9712_.wvu.FilterData" localSheetId="2" hidden="1">Schedule!$E$4:$W$4</x:definedName>
    <x:definedName name="Z_AF9F6769_16BA_4444_B539_537212F9672A_.wvu.FilterData" localSheetId="2" hidden="1">Schedule!$E$4:$W$4</x:definedName>
    <x:definedName name="Z_AF9F6769_16BA_4444_B539_537212F9672A_.wvu.PrintArea" localSheetId="2" hidden="1">Schedule!$E$4:$AE$4</x:definedName>
    <x:definedName name="Z_B0AA3114_3257_4D99_8E15_F0A183B56293_.wvu.FilterData" localSheetId="2" hidden="1">Schedule!$E$4:$W$4</x:definedName>
    <x:definedName name="Z_B4798534_C27D_422C_BD87_0A71D9C8BAA9_.wvu.FilterData" localSheetId="2" hidden="1">Schedule!$E$4:$W$4</x:definedName>
    <x:definedName name="Z_C7B87852_3417_4B82_AD8F_04929FC46960_.wvu.FilterData" localSheetId="2" hidden="1">Schedule!$E$4:$W$4</x:definedName>
    <x:definedName name="Z_CD147E05_78AB_4F1A_996E_7FAB0BB4629B_.wvu.FilterData" localSheetId="2" hidden="1">Schedule!$E$4:$W$4</x:definedName>
    <x:definedName name="Z_F8F33EAC_6737_4237_A48D_05833D89E8C9_.wvu.FilterData" localSheetId="2" hidden="1">Schedule!$E$4:$W$4</x:definedName>
    <x:definedName name="Z_F8F33EAC_6737_4237_A48D_05833D89E8C9_.wvu.PrintArea" localSheetId="2" hidden="1">Schedule!$E$4:$AE$4</x:definedName>
    <x:definedName name="Z_FA644498_2FA7_4E23_AA15_463455A1D2EE_.wvu.FilterData" localSheetId="2" hidden="1">Schedule!$E$4:$W$4</x:definedName>
    <x:definedName name="_xlnm.Print_Area" localSheetId="2">Schedule!$D$1:$BL$48</x:definedName>
  </x:definedNames>
  <x:calcPr xmlns:mc="http://schemas.openxmlformats.org/markup-compatibility/2006" xmlns:hs="http://schemas.haansoft.com/office/spreadsheet/8.0"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<x:sst xmlns:r="http://schemas.openxmlformats.org/officeDocument/2006/relationships" xmlns:c="http://schemas.openxmlformats.org/drawingml/2006/chart" xmlns:x="http://schemas.openxmlformats.org/spreadsheetml/2006/main" count="4247" uniqueCount="1593">
  <x:si>
    <x:t xml:space="preserve">    월간보고3(박피엠[20%]) 10/21-9/15 </x:t>
  </x:si>
  <x:si>
    <x:t>Error! Cause may be one of the following.\n * File is invalid(e.g. the Excel file corrupted)\n * Data format is invalid(First row:title, from second row:contents or XLGantt file is valid)\n * If you cancel to open the file that is already opened\n\n Please check the messages below for details.</x:t>
  </x:si>
  <x:si>
    <x:t>The "Deliverables" column has been deleted. Please retry after changing the sheet to its previous state.</x:t>
  </x:si>
  <x:si>
    <x:t>Set "the earliest start date and the lastest fisnish date of the tasks" to the Project Start-Finish date.</x:t>
  </x:si>
  <x:si>
    <x:t>The "%Work Complete" column has been deleted. Please retry after changing the sheet to its previous state.</x:t>
  </x:si>
  <x:si>
    <x:t>The "Total Duration" column has been deleted. Please retry after changing the sheet to its previous state.</x:t>
  </x:si>
  <x:si>
    <x:t>The following file formats are not supported. You can import files with version 0.9.7 or higher than 0.9.7.</x:t>
  </x:si>
  <x:si>
    <x:t>The "Planned Work" column has been deleted. Please retry after changing the sheet to its previous state.</x:t>
  </x:si>
  <x:si>
    <x:t xml:space="preserve">  0.00% 프로세스모델링 10/7-10/14 </x:t>
  </x:si>
  <x:si>
    <x:t>월간보고5</x:t>
  </x:si>
  <x:si>
    <x:t>월간보고6</x:t>
  </x:si>
  <x:si>
    <x:t>월간보고4</x:t>
  </x:si>
  <x:si>
    <x:t>시험 및 종료</x:t>
  </x:si>
  <x:si>
    <x:t>시스템 분석</x:t>
  </x:si>
  <x:si>
    <x:t xml:space="preserve">     0.00% 검수 및 종료 12/16-12/16 </x:t>
  </x:si>
  <x:si>
    <x:t>If you do not enter the actual finish date of row number {1} in the {2} sheet, you can't enter "%Work Complete" as 100%.</x:t>
  </x:si>
  <x:si>
    <x: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x:t>
  </x:si>
  <x:si>
    <x:t>The earliest start date({1}) of the tasks is earlier than the start date({2}) of the project.\n\nIn this case, there may be problems with resource calculations. Please change the start date to valid date.</x:t>
  </x:si>
  <x:si>
    <x: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x:t>
  </x:si>
  <x:si>
    <x:t>* You can import  files created in XLGantt.
* You can import files if the version is 0.9.7 or higher than 0.9.7
* You can import up to 10,000 records.
* You can import multiple files simultaneously.</x:t>
  </x:si>
  <x:si>
    <x:t>The latest finish date({1}) of the tasks is later than the finish date({2}) of the project.\n\nIn this case, there may be problems with resource calculations. Please change the finish date to valid date.</x:t>
  </x:si>
  <x:si>
    <x:t>Name:optWorkloadCalcByResourceAssignRate</x:t>
  </x:si>
  <x:si>
    <x:t>박준형,김우빈,최원,박윤주</x:t>
  </x:si>
  <x:si>
    <x:t xml:space="preserve">    프로그램 개발 10/29-11/25 </x:t>
  </x:si>
  <x:si>
    <x: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x:t>
  </x:si>
  <x:si>
    <x: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x:t>
  </x:si>
  <x:si>
    <x:t>Shows you the workloads, progresses, etc.</x:t>
  </x:si>
  <x:si>
    <x:t>Adding Tasks to Microsoft Outlook Calendar</x:t>
  </x:si>
  <x:si>
    <x:t>Display the task name in the same field</x:t>
  </x:si>
  <x:si>
    <x:t>There is no data in the following files</x:t>
  </x:si>
  <x:si>
    <x:t>You can edit task only on the {} sheet.</x:t>
  </x:si>
  <x:si>
    <x:t>You can't choose a field that is empty.</x:t>
  </x:si>
  <x:si>
    <x:t>Updating schedule... \nplease wait...</x:t>
  </x:si>
  <x:si>
    <x:t>실제진척율 필드입니다. 현재까지 실제 진척된 작업량을 %로 표현합니다.</x:t>
  </x:si>
  <x:si>
    <x:t>The job was not completed successfully.</x:t>
  </x:si>
  <x:si>
    <x:t xml:space="preserve">       Field Name           Field Value</x:t>
  </x:si>
  <x:si>
    <x:t>Please choose a type of the task field.</x:t>
  </x:si>
  <x:si>
    <x:t xml:space="preserve">           Field Name         Example</x:t>
  </x:si>
  <x:si>
    <x:t>Search for the tasks based on criteria.</x:t>
  </x:si>
  <x:si>
    <x:t>The following folder does not exist.</x:t>
  </x:si>
  <x:si>
    <x:t>You can use this feature if you want to see the server's schedule data. If you put the schedule data on the Server into the ServerData sheet and download the XLGantt file and open the XLGantt file, the data comes into the Schedule sheet.</x:t>
  </x:si>
  <x:si>
    <x: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x:t>
  </x:si>
  <x:si>
    <x: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x:t>
  </x:si>
  <x:si>
    <x: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x:t>
  </x:si>
  <x:si>
    <x:t>작업명, 시작일, 완료일, 진척율을 입력하면 휴무일, 가중치를 고려하여 자동으로 작업기간, 계획진척율, 실적진척율 등이 계산된다.</x:t>
  </x:si>
  <x:si>
    <x:t>You can use %work complete to keep track of the progress of the project.</x:t>
  </x:si>
  <x:si>
    <x:t>The following file formats are not supported. You can import the files if the version is 0.9.7 or higher than 0.9.7.</x:t>
  </x:si>
  <x:si>
    <x:t>엑셀간트에서는 Schedule시트에 입력되어 있는 작업을 Microsoft Outlook에 작업이나 일정으로 등록할 수 있는 기능을 제공한다(단, PC에 Microsoft Outlook이 설치되어 있어야 한다).</x:t>
  </x:si>
  <x:si>
    <x:t>"WBS"(Work Breakdown Structure) field. It displays the level of a task. Instead of WBS, you can use "Outline level".</x:t>
  </x:si>
  <x:si>
    <x:t xml:space="preserve">* 가져올 파일이 XLGantt로 작성된 경우만 가능
\n* XLGantt의 버전이 0.9.7 이상인 경우만 가능\n* 자료의 갯수는 10,000개 이하까지만 처리됨
\n* 여러개의 파일 동시처리 가능
</x:t>
  </x:si>
  <x:si>
    <x:t>When you enter nonworking days, XLGantt excludes them from calculations of working time. Standard calendar is the default calendar. If you want to specify a different calendar for a specific task, please use "User Defined Calendar 1" or "User Defined Calendar 2".</x:t>
  </x:si>
  <x:si>
    <x:t>Project duration is too long. The earliest start date is {1} and the latest finish date is {2}, so the project duration is {3} days. The maximum number of days allowed in XLGantt is {4} days. Reduce the project duration to within the limits allowed by XLGantt.</x:t>
  </x:si>
  <x:si>
    <x:t>XLGantt is a program designed to enable project scheduling in Microsoft Excel. It is composed of the following features. You don't need to install this program because it is a Excel macro file. You just download this file, save it to a folder, and open it in Excel.</x:t>
  </x:si>
  <x:si>
    <x:t>{} "Outlook Task(s)" have been added.</x:t>
  </x:si>
  <x:si>
    <x:t>* "Workload(담당별)" 메뉴를 클릭해야 내용이 갱신됩니다.</x:t>
  </x:si>
  <x:si>
    <x:t>No need to enter in the Calendar sheet</x:t>
  </x:si>
  <x:si>
    <x: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x:t>
  </x:si>
  <x:si>
    <x:t>When you enter a task and a schedule, the progress rate is calculated and the schedule of the task is displayed as a gantt chart.</x:t>
  </x:si>
  <x:si>
    <x:t>* Common Excel file, Not XLGantt file\n   (First row is title,from second rows are contents)\n* You can import only one file at once.</x:t>
  </x:si>
  <x:si>
    <x: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x:t>
  </x:si>
  <x:si>
    <x:t>The "%Work Complete" of row number {1} in the {2} sheet is not a number.</x:t>
  </x:si>
  <x:si>
    <x:t>You can not use "Microsoft Outlook". \nMake sure you properly installed it.</x:t>
  </x:si>
  <x:si>
    <x:t>Import new data into the Schedule sheet without clearing the existing  data</x:t>
  </x:si>
  <x:si>
    <x:t>This area can not be selected. Please select an area that contains tasks.</x:t>
  </x:si>
  <x:si>
    <x:t>The actual start date format of row number {1} in the {2} sheet is invalid.</x:t>
  </x:si>
  <x:si>
    <x:t>The format of "Calculation Base Date of Planned %Work Complete" is invalid.</x:t>
  </x:si>
  <x:si>
    <x:t>* You need to click the "Progress by Weeks" button to update the contents.</x:t>
  </x:si>
  <x:si>
    <x:t>* You need to click the "Progress by Months" button to update the contents.</x:t>
  </x:si>
  <x:si>
    <x:t>Currently we support only English and Korean as user interface(UI) language at XLGantt. Since the program code and the resource file for multiple languages ​​are separated, it is possible to add multiple languages ​​without modifying the program.</x:t>
  </x:si>
  <x:si>
    <x:t xml:space="preserve"> 시스템 개발 10/7-12/16 </x:t>
  </x:si>
  <x:si>
    <x:t>The "Finish Date" column has been deleted. Please retry after changing the sheet to its previous state.</x:t>
  </x:si>
  <x:si>
    <x:t>The "Resources" column has been deleted. Please retry after changing the sheet to its previous state.</x:t>
  </x:si>
  <x:si>
    <x:t>The "Total Work" column has been deleted. Please retry after changing the sheet to its previous state.</x:t>
  </x:si>
  <x:si>
    <x:t>* You need to click the "Workloads by Weeks" or "Workloads by Months" button to update the contents.</x:t>
  </x:si>
  <x:si>
    <x:t>The "Start Date" column has been deleted. Please retry after changing the sheet to its previous state.</x:t>
  </x:si>
  <x:si>
    <x:t xml:space="preserve">일정을 관리할 때 작업 시작일/완료일, 실제시작일/실제완료일을 사용합니다. 실제 시작된 날짜와 실제 완료된 날짜를 입력하여 일정이 지연되었거나 빨리 진행된 것을 관리할 수 있습니다.  </x:t>
  </x:si>
  <x:si>
    <x:t>The "Calendar" column has been deleted. Please retry after changing the sheet to its previous state.</x:t>
  </x:si>
  <x:si>
    <x:t>Calculation Base Date of Planned %Work Complete must be greater than or equal to project start date.</x:t>
  </x:si>
  <x:si>
    <x:t>The week containing the first Thursday of the year is the first week of the year(ISO 8601 Standard).</x:t>
  </x:si>
  <x:si>
    <x:t>10066176;10066176;26367;8421504;26367;8421504;16764108;16737792;65280;16737792;13311;65280;14540253;255</x:t>
  </x:si>
  <x:si>
    <x:t>한주의 시작요일 지정, 휴무일 설정, 주차표시 기능을 제공한다.
리본메뉴 &gt; XLGantt – Project Scheduler &gt; 옵션 &gt; “Calendar” 탭에서 설정할 수 있다.</x:t>
  </x:si>
  <x:si>
    <x:t>The "WBS Level" column has been deleted. Please retry after changing the sheet to its previous state.</x:t>
  </x:si>
  <x:si>
    <x:t xml:space="preserve">     개발 10/29-11/25 </x:t>
  </x:si>
  <x:si>
    <x:t>The language setting has been changed.\nPress the OK button to start translation. \nIt may take a long time to translate.\nHowever, translation of Ribbon menu and Popup menu takes effect after reopening this XLGantt file.</x:t>
  </x:si>
  <x:si>
    <x:t xml:space="preserve">    0.00% 인수테스트실시 12/16-12/16 </x:t>
  </x:si>
  <x:si>
    <x:t xml:space="preserve">    0.00% 소프트웨어설치 12/9-12/16 </x:t>
  </x:si>
  <x:si>
    <x:t xml:space="preserve">    0.00% 프로젝트 범위정의 9/9-9/30 </x:t>
  </x:si>
  <x:si>
    <x:t xml:space="preserve">    프로그램코딩 및 단위테스트 10/29-11/25 </x:t>
  </x:si>
  <x:si>
    <x:t xml:space="preserve">      0.00% 요구사항정의 10/7-10/14 </x:t>
  </x:si>
  <x:si>
    <x:t>소프트웨어 및 하드웨어 구축</x:t>
  </x:si>
  <x:si>
    <x:t>The actual start date of row number {1} in the {2} sheet is later than the actual finish date.</x:t>
  </x:si>
  <x:si>
    <x:t>Type a number between 0% and 100% in "%Work Complete" field of row number {1} in the {2} sheet.</x:t>
  </x:si>
  <x:si>
    <x:t>The "WBS" column has been deleted. Please retry after changing the sheet to its previous state.</x:t>
  </x:si>
  <x:si>
    <x:t>This XLGantt is not the latest version. Download the latest version from the following site.</x:t>
  </x:si>
  <x:si>
    <x:t>If you want to learn the features quickly and easily, see the "Getting Started With XLGantt".</x:t>
  </x:si>
  <x:si>
    <x:t>Actually performed workload when not managing schedule changes(Total Duration x %Work Complete)</x:t>
  </x:si>
  <x:si>
    <x:t>An error occurred while checking XLGantt cell formats. Please restart XLGantt.</x:t>
  </x:si>
  <x:si>
    <x:t>* You need to click the "Progresses by Resources" button to update contents.</x:t>
  </x:si>
  <x:si>
    <x:t>The kind of period is invalid. You must enter one of the M(Months) or W(Weeks)</x:t>
  </x:si>
  <x:si>
    <x:t xml:space="preserve">일정을 관리할 때 작업 시작일/완료일만 사용합니다. 변경된 일정은 관리하지 않습니다. 일정이 변경되었을 때는 시작일과 완료일을 변경합니다.  </x:t>
  </x:si>
  <x:si>
    <x:t>The actual finish date format of row number {1} in the {2} sheet is invalid.</x:t>
  </x:si>
  <x:si>
    <x:t>Import file format Error! Range A1 should contain "xlgantt_reserved" string.</x:t>
  </x:si>
  <x:si>
    <x:t>* You need to click the "Workloads by Resources" button to update the contents.</x:t>
  </x:si>
  <x:si>
    <x:t>엑셀간트는 다국어를 지원하는데 프로그램을 수정하지 않고 여러 다국어를 추가할 수 있다. 현재는 한국어, 영어 2개 국어가 추가되어 있다.</x:t>
  </x:si>
  <x:si>
    <x:t>WBS Level is invalid. Enter a number only. Verify row {} of the source file.</x:t>
  </x:si>
  <x:si>
    <x:t>{2} sheet의 {1}행의 실적진척율을 0~100% 범위로 입력해주세요.</x:t>
  </x:si>
  <x:si>
    <x:t>Do not recalculate WBS area after import</x:t>
  </x:si>
  <x:si>
    <x:t>C:\Program Files\Notepad++\notepad++.exe</x:t>
  </x:si>
  <x:si>
    <x:t>담당별 진행율, Workload등 분석용 Report를 만들어서 보여준다.</x:t>
  </x:si>
  <x:si>
    <x:t>Of the first two rows, at least one has been deleted. Please retry after changing the sheet to its previous state.</x:t>
  </x:si>
  <x:si>
    <x:t>엑셀간트에서는 산출물의 저장 경로(폴더 위치)를 지정하고 Schedule시트에서 바로 산출물을 열 수 있는 기능을 제공한다. 리본 메뉴에서 “옵션” 버튼을 클릭하면  “산출물”과 관련된 설정을 할 수 있다.</x:t>
  </x:si>
  <x:si>
    <x:t>개요수준(작업Level)필드입니다. 작업의 Level을 표시합니다. 예를 들어 2 Level의 작업이면 숫자 2로 표시됩니다. 개요수준대신 WBS필드(1.3.2 등의 형식으로 표시)를 사용하기도 합니다.</x:t>
  </x:si>
  <x:si>
    <x:t>The "Planned %Work Complete" column has been deleted. Please retry after changing the sheet to its previous state.</x:t>
  </x:si>
  <x:si>
    <x:t>Makes workload data by weekly and monthly. You can do analysis as you want by using Excel features such as pivot.</x:t>
  </x:si>
  <x:si>
    <x:t>The "Actual Total Duration" column has been deleted. Please retry after changing the sheet to its previous state.</x:t>
  </x:si>
  <x:si>
    <x:t>Once you choose "Display the task name in the same field" option, you should select a WBS No. or a WBS Level field.</x:t>
  </x:si>
  <x:si>
    <x:t>"Outline level"(task Level) field. It displays the level of a task.Instead of "Outline level", you can use "WBS".</x:t>
  </x:si>
  <x:si>
    <x:t>{} "Outlook Appointment(s)" have been added.</x:t>
  </x:si>
  <x:si>
    <x:t>Calculation Base Date of Planned %Work Complete</x:t>
  </x:si>
  <x:si>
    <x:t>Days (Average number of working days per month)</x:t>
  </x:si>
  <x:si>
    <x:t>The number of Level must be positive integer.</x:t>
  </x:si>
  <x:si>
    <x:t>각 작업의 실제완료일(또는 실제종료일)을 표시합니다. 반드시 날짜 형식이어야 합니다.</x:t>
  </x:si>
  <x:si>
    <x:t>{2} sheet의 {1}행의 실제시작일이 비어있고 실제완료일만 입력되어 있습니다.</x:t>
  </x:si>
  <x:si>
    <x:t>C:\Program Files\Autodesk\AutoCAD 2019\acad.exe</x:t>
  </x:si>
  <x:si>
    <x:t xml:space="preserve">Import  Data of "ServerData" sheet on Startup </x:t>
  </x:si>
  <x:si>
    <x:t>작업과 일정을 입력하면 진척율이 계산되며 작업의 일정을 간트차트로 표시해 준다.</x:t>
  </x:si>
  <x:si>
    <x:t>You can not edit a task in the selected area.</x:t>
  </x:si>
  <x:si>
    <x:t>The start date is later than the finish date.</x:t>
  </x:si>
  <x:si>
    <x:t>Run "Update Schedule"  When Saving XLGantt File</x:t>
  </x:si>
  <x:si>
    <x:t>There is no input data that will be calculated.</x:t>
  </x:si>
  <x:si>
    <x:t>현재날짜까지 계획된 진척율, WBS의 "계획진척율"의 전체 합계 진척율을 표시함</x:t>
  </x:si>
  <x:si>
    <x:t xml:space="preserve">Import success!\nTotal rows of imported data : </x:t>
  </x:si>
  <x:si>
    <x:t>You can not indent or outdent the selected row.</x:t>
  </x:si>
  <x:si>
    <x:t>{2} sheet의 {1}행의 시작일 또는 완료일이 프로젝트 기간을 벗어났습니다.</x:t>
  </x:si>
  <x:si>
    <x:t>https://xlworks.net/xlgantt-howto-11-calendar/</x:t>
  </x:si>
  <x:si>
    <x:t>Display project week number on the timescale</x:t>
  </x:si>
  <x:si>
    <x:t>https://xlworks.net/xlgantt-project-scheduler/</x:t>
  </x:si>
  <x:si>
    <x:t>Planned %Work Complete calculation base date</x:t>
  </x:si>
  <x:si>
    <x:t>Import data after clearing the existing data</x:t>
  </x:si>
  <x:si>
    <x:t>서식check 중 에러가 발생하였습니다. XLGantt를 종료하고 다시 시작하십시오.</x:t>
  </x:si>
  <x:si>
    <x:t>Choose what to do after Importing Server Data</x:t>
  </x:si>
  <x:si>
    <x:t>Only the dates entered in the Calendar sheet</x:t>
  </x:si>
  <x:si>
    <x:t>작업명으로 하위 경로 자동지정을 선택한 경우에는 상위의 기본경로를 설정해야 합니다.</x:t>
  </x:si>
  <x:si>
    <x:t>Import Data without Clearing the Existing Data</x:t>
  </x:si>
  <x:si>
    <x:t>You can open deliverables only on the {} Sheet.</x:t>
  </x:si>
  <x:si>
    <x:t>Error! Cause may be one of the following.\n * File is invalid(e.g. the XLGantt file corrupted)\n * Not XLGantt file but General Excel file\n\n Please check the messages below for details.</x:t>
  </x:si>
  <x:si>
    <x:t>There is an error in the total workload or planned workload field of row number {1} in the {2} sheet. Please check that the start / finish date was entered correctly, or that the formula is correct.</x:t>
  </x:si>
  <x:si>
    <x: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x:t>
  </x:si>
  <x:si>
    <x: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x:t>
  </x:si>
  <x:si>
    <x:t>WBS(Work Breakdown Structure) 필드입니다. 작업의 Level을 표시합니다. 1.3.2 등의 형식으로 표시됩니다. WBS대신 개요수준(작업Level)필드를 사용하기도 합니다. 예를 들어 2 Level의 작업이면 숫자 2로 표시됩니다.</x:t>
  </x:si>
  <x:si>
    <x:t>Actual progress rate(%Work Complete) field.</x:t>
  </x:si>
  <x:si>
    <x:t>{} sheet가 존재하지 않습니다. 이름을 변경하거나 삭제했는지 확인하세요.</x:t>
  </x:si>
  <x:si>
    <x:t>각 작업의 완료일(또는 종료일)을 표시합니다. 반드시 날짜 형식이어야 합니다.</x:t>
  </x:si>
  <x:si>
    <x:t>{2} sheet의 {1}행의 실제 시작일이 프로젝트 기간을 벗어났습니다.</x:t>
  </x:si>
  <x:si>
    <x:t>Display the total workload of the project</x:t>
  </x:si>
  <x:si>
    <x:t>Gantt영역의 첫번째 열이 삭제되었습니다. 원래대로 복구한 후 작업하세요.</x:t>
  </x:si>
  <x:si>
    <x:t>기간의 종류가 잘못되었습니다. W(주), M(월) 중에 하나를 입력해야 합니다</x:t>
  </x:si>
  <x:si>
    <x:t>Please enter the program execution path.</x:t>
  </x:si>
  <x:si>
    <x:t>After turning off filtering, we'll proceed.</x:t>
  </x:si>
  <x:si>
    <x:t>Please set project calendars in this sheet.</x:t>
  </x:si>
  <x:si>
    <x:t>Import without clearing the existing data.</x:t>
  </x:si>
  <x:si>
    <x:t xml:space="preserve">              From                      To</x:t>
  </x:si>
  <x:si>
    <x:t xml:space="preserve">가져오기 작업이 정상적으로 완료되었습니다.\n가져온 자료의 전체 행수 : </x:t>
  </x:si>
  <x:si>
    <x:t>프로젝트 전체의 작업량을 Man/Day로 표시한다. 가중치를 적용한 값이다.</x:t>
  </x:si>
  <x:si>
    <x:t>Task의 가장 빠른 시작일과 가장 늦은 완료일을 프로젝트 기간으로 자동설정</x:t>
  </x:si>
  <x:si>
    <x:t>You can't import an Excel Macro file. Please import after saving it as an xls or xlsx file. If it is an XLGantt file, you can import it at the menu "Import files created in XLGantt"</x:t>
  </x:si>
  <x:si>
    <x: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x:t>
  </x:si>
  <x:si>
    <x:t>The date field of row number {1} in the {2} sheet was entered, but the task field is empty.\nEnter a value in the task field or clear the date field.</x:t>
  </x:si>
  <x:si>
    <x:t>가져오는 파일(소스파일)에 설정된 언어와 이 파일(타겟파일)에 설정된 언어가 다르면 Import할 수 없습니다.</x:t>
  </x:si>
  <x:si>
    <x:t>Actual finish date field of a task. It must be in date format.</x:t>
  </x:si>
  <x:si>
    <x:t>Actual start date field of a task. It must be in date format.</x:t>
  </x:si>
  <x:si>
    <x:t>The weight of row number {1} in the {2} sheet is not a number.</x:t>
  </x:si>
  <x:si>
    <x:t>Actual %Work Complete from the start date to the current date</x:t>
  </x:si>
  <x:si>
    <x:t>Displays the task name in the different field for each level</x:t>
  </x:si>
  <x:si>
    <x:t>There are no executable programs that open the deliverables.</x:t>
  </x:si>
  <x:si>
    <x:t>Planned %Work Complete from the start date to the current date</x:t>
  </x:si>
  <x:si>
    <x:t>You can not add "Outlook Appointments" in the selected area.</x:t>
  </x:si>
  <x:si>
    <x:t>Actual start date is invalid. Verify row {} of the source file.</x:t>
  </x:si>
  <x:si>
    <x:t>No need to enter Saturdays and Sundays in the Calendar sheet</x:t>
  </x:si>
  <x:si>
    <x:t xml:space="preserve">Saturdays, Sundays and the dates entered in the Calendar sheet
</x:t>
  </x:si>
  <x:si>
    <x:t>* This sheet shows you workload allocations by weeks or months.</x:t>
  </x:si>
  <x:si>
    <x:t>"%Work Complete" is invalid. Type a number between 0% and 100%.</x:t>
  </x:si>
  <x:si>
    <x:t>{"TASK_FIRST_COL":"5","START_ROW":"5","WBS_AREA_LAST_COL":"31"}</x:t>
  </x:si>
  <x:si>
    <x:t>저장하기 전에 스케줄을 업데이트하시겠습니까?\n\n[스케줄업데이트]메뉴를 클릭할 때와 동일한 작업을 수행합니다.</x:t>
  </x:si>
  <x:si>
    <x:t>The week containing January 1 is the first week of the year.</x:t>
  </x:si>
  <x:si>
    <x:t>WBS Level(개요번호)에 숫자가 아닌 값이 포함되어 있습니다. Import하는 파일의 {}행을 확인하세요.</x:t>
  </x:si>
  <x:si>
    <x:t>https://xlworks.net/xlgantt-howto-12-integration-with-excel/</x:t>
  </x:si>
  <x:si>
    <x:t>https://xlworks.net/en/xlgantt-howto-08-add-tasks-to-outlook/</x:t>
  </x:si>
  <x:si>
    <x:t>https://xlworks.net/en/xlgantt-howto-12-integration-with-excel/</x:t>
  </x:si>
  <x:si>
    <x:t>가져오는 파일의 포맷이 잘못되었습니다. A1셀에는 "xlgantt_reserved"가 입력되어 있어야 합니다.</x:t>
  </x:si>
  <x:si>
    <x:t>지금 사용하고 계신 XLGantt는 최신버전이 아닙니다.\n
최신버전을 아래의 사이트에서 다운로드 받으세요.</x:t>
  </x:si>
  <x:si>
    <x:t>https://xlworks.net/en/xlgantt-howto-09-multilingual-support/</x:t>
  </x:si>
  <x:si>
    <x:t>The resource field should be entered in the following format.</x:t>
  </x:si>
  <x:si>
    <x:t>Workload data를 주별/월별로 만들어 준다. 피벗 등의 기능으로 사용자가 원하는대로 분석을 할 수 있다.</x:t>
  </x:si>
  <x:si>
    <x:t>The {} sheet does not exist. Please check that you have changed or deleted the sheet.</x:t>
  </x:si>
  <x:si>
    <x:t>* This sheet shows you tasks, workloads, progresses(%Work complete), etc by resources.</x:t>
  </x:si>
  <x:si>
    <x:t>Shows you the progresses and workloads of the project by weeks, months, and resources.</x:t>
  </x:si>
  <x:si>
    <x:t>Error! Calculated Total Man-Day is different from the Total Man-Day of the {} sheet.</x:t>
  </x:si>
  <x:si>
    <x:t>진척율선 그리기 작업 중 에러가 발생했습니다. 실제시작일 또는 실제완료일이 프로젝트 기간을 벗어난 경우에 발생할 수 있습니다. 아래의 메시지를 확인하십시오.</x:t>
  </x:si>
  <x:si>
    <x:t>Regardless of the language setting in computer O/S, you can choose a language directly</x:t>
  </x:si>
  <x:si>
    <x:t>{2} sheet의 {1}행의 총작업량 또는계획작업량 필드에 오류가 있습니다. 시작일/완료일이 잘못 입력되었는지 또는 수식에 문제가 없는지 확인하세요.</x:t>
  </x:si>
  <x:si>
    <x:t>You can not add a column between column A and C because the range is reserved by XLGantt.</x:t>
  </x:si>
  <x:si>
    <x:t>The actual start date of row number {1} in the {2} sheet is out of the project duration.</x:t>
  </x:si>
  <x:si>
    <x:t>The start or finish date of row number {1} in the {2} sheet is out of the project duration.</x:t>
  </x:si>
  <x:si>
    <x:t>It is used when you want to see schedule data of IT system where server exists separately.</x:t>
  </x:si>
  <x:si>
    <x:t>Adds tasks to the Outlook calendar(You must have Microsoft Outlook installed on your PC).</x:t>
  </x:si>
  <x:si>
    <x:t>It recalculates duration and % Work Complete. Clicking the Save button will be the same.</x:t>
  </x:si>
  <x:si>
    <x:t>* This sheet shows you workload allocations by resources.</x:t>
  </x:si>
  <x:si>
    <x:t>Actually Performed workload when managing schedule changes</x:t>
  </x:si>
  <x:si>
    <x:t>Unable to open file. Please change the "Check if you save deliverables in specific directory" option to the checked state in the Setting&gt;Deliverables tab.</x:t>
  </x:si>
  <x:si>
    <x: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x:t>
  </x:si>
  <x:si>
    <x:t>The project start date({}) you entered is not valid date format.</x:t>
  </x:si>
  <x:si>
    <x:t>You are using the latest version of XLGantt.\nCurrent Verison : {}</x:t>
  </x:si>
  <x:si>
    <x:t>Actual finish date is invalid. Verify row {} of the source file.</x:t>
  </x:si>
  <x:si>
    <x:t>The project finish date({}) you entered is not valid date format.</x:t>
  </x:si>
  <x:si>
    <x:t>Included in the selection\nlist when deliverables\nnot specified</x:t>
  </x:si>
  <x:si>
    <x:t>https://xlworks.net/en/xlgantt-howto-06-schedule-change-management/</x:t>
  </x:si>
  <x:si>
    <x:r>
      <mc:AlternateContent xmlns:mc="http://schemas.openxmlformats.org/markup-compatibility/2006">
        <mc:Choice xmlns:hs="http://schemas.haansoft.com/office/spreadsheet/8.0" Requires="hs">
          <x:rPr hs:extension="1">
            <x:rFont val="Malgun Gothic"/>
            <x:sz val="10"/>
            <x:color rgb="ff0563c1"/>
            <x:b val="1"/>
            <hs:size val="100"/>
            <hs:ratio val="100"/>
            <hs:spacing val="0"/>
            <hs:offset val="0"/>
          </x:rPr>
        </mc:Choice>
        <mc:Fallback>
          <x:rPr>
            <x:rFont val="Malgun Gothic"/>
            <x:sz val="10"/>
            <x:color rgb="ff0563c1"/>
            <x:b val="1"/>
          </x:rPr>
        </mc:Fallback>
      </mc:AlternateContent>
      <x:t>도움말</x:t>
    </x:r>
    <x:r>
      <mc:AlternateContent xmlns:mc="http://schemas.openxmlformats.org/markup-compatibility/2006">
        <mc:Choice xmlns:hs="http://schemas.haansoft.com/office/spreadsheet/8.0" Requires="hs">
          <x:rPr hs:extension="1">
            <x:rFont val="Calibri"/>
            <x:sz val="10"/>
            <x:color rgb="ff0563c1"/>
            <x:b val="1"/>
            <hs:size val="100"/>
            <hs:ratio val="100"/>
            <hs:spacing val="0"/>
            <hs:offset val="0"/>
          </x:rPr>
        </mc:Choice>
        <mc:Fallback>
          <x:rPr>
            <x:rFont val="Calibri"/>
            <x:sz val="10"/>
            <x:color rgb="ff0563c1"/>
            <x:b val="1"/>
          </x:rPr>
        </mc:Fallback>
      </mc:AlternateContent>
      <x:t xml:space="preserve">, </x:t>
    </x:r>
    <x:r>
      <mc:AlternateContent xmlns:mc="http://schemas.openxmlformats.org/markup-compatibility/2006">
        <mc:Choice xmlns:hs="http://schemas.haansoft.com/office/spreadsheet/8.0" Requires="hs">
          <x:rPr hs:extension="1">
            <x:rFont val="Malgun Gothic"/>
            <x:sz val="10"/>
            <x:color rgb="ff0563c1"/>
            <x:b val="1"/>
            <hs:size val="100"/>
            <hs:ratio val="100"/>
            <hs:spacing val="0"/>
            <hs:offset val="0"/>
          </x:rPr>
        </mc:Choice>
        <mc:Fallback>
          <x:rPr>
            <x:rFont val="Malgun Gothic"/>
            <x:sz val="10"/>
            <x:color rgb="ff0563c1"/>
            <x:b val="1"/>
          </x:rPr>
        </mc:Fallback>
      </mc:AlternateContent>
      <x:t>최신</x:t>
    </x:r>
    <x:r>
      <mc:AlternateContent xmlns:mc="http://schemas.openxmlformats.org/markup-compatibility/2006">
        <mc:Choice xmlns:hs="http://schemas.haansoft.com/office/spreadsheet/8.0" Requires="hs">
          <x:rPr hs:extension="1">
            <x:rFont val="Calibri"/>
            <x:sz val="10"/>
            <x:color rgb="ff0563c1"/>
            <x:b val="1"/>
            <hs:size val="100"/>
            <hs:ratio val="100"/>
            <hs:spacing val="0"/>
            <hs:offset val="0"/>
          </x:rPr>
        </mc:Choice>
        <mc:Fallback>
          <x:rPr>
            <x:rFont val="Calibri"/>
            <x:sz val="10"/>
            <x:color rgb="ff0563c1"/>
            <x:b val="1"/>
          </x:rPr>
        </mc:Fallback>
      </mc:AlternateContent>
      <x:t xml:space="preserve"> </x:t>
    </x:r>
    <x:r>
      <mc:AlternateContent xmlns:mc="http://schemas.openxmlformats.org/markup-compatibility/2006">
        <mc:Choice xmlns:hs="http://schemas.haansoft.com/office/spreadsheet/8.0" Requires="hs">
          <x:rPr hs:extension="1">
            <x:rFont val="Malgun Gothic"/>
            <x:sz val="10"/>
            <x:color rgb="ff0563c1"/>
            <x:b val="1"/>
            <hs:size val="100"/>
            <hs:ratio val="100"/>
            <hs:spacing val="0"/>
            <hs:offset val="0"/>
          </x:rPr>
        </mc:Choice>
        <mc:Fallback>
          <x:rPr>
            <x:rFont val="Malgun Gothic"/>
            <x:sz val="10"/>
            <x:color rgb="ff0563c1"/>
            <x:b val="1"/>
          </x:rPr>
        </mc:Fallback>
      </mc:AlternateContent>
      <x:t>버전</x:t>
    </x:r>
    <x:r>
      <mc:AlternateContent xmlns:mc="http://schemas.openxmlformats.org/markup-compatibility/2006">
        <mc:Choice xmlns:hs="http://schemas.haansoft.com/office/spreadsheet/8.0" Requires="hs">
          <x:rPr hs:extension="1">
            <x:rFont val="Calibri"/>
            <x:sz val="10"/>
            <x:color rgb="ff0563c1"/>
            <x:b val="1"/>
            <hs:size val="100"/>
            <hs:ratio val="100"/>
            <hs:spacing val="0"/>
            <hs:offset val="0"/>
          </x:rPr>
        </mc:Choice>
        <mc:Fallback>
          <x:rPr>
            <x:rFont val="Calibri"/>
            <x:sz val="10"/>
            <x:color rgb="ff0563c1"/>
            <x:b val="1"/>
          </x:rPr>
        </mc:Fallback>
      </mc:AlternateContent>
      <x:t xml:space="preserve"> </x:t>
    </x:r>
    <x:r>
      <mc:AlternateContent xmlns:mc="http://schemas.openxmlformats.org/markup-compatibility/2006">
        <mc:Choice xmlns:hs="http://schemas.haansoft.com/office/spreadsheet/8.0" Requires="hs">
          <x:rPr hs:extension="1">
            <x:rFont val="Malgun Gothic"/>
            <x:sz val="10"/>
            <x:color rgb="ff0563c1"/>
            <x:b val="1"/>
            <hs:size val="100"/>
            <hs:ratio val="100"/>
            <hs:spacing val="0"/>
            <hs:offset val="0"/>
          </x:rPr>
        </mc:Choice>
        <mc:Fallback>
          <x:rPr>
            <x:rFont val="Malgun Gothic"/>
            <x:sz val="10"/>
            <x:color rgb="ff0563c1"/>
            <x:b val="1"/>
          </x:rPr>
        </mc:Fallback>
      </mc:AlternateContent>
      <x:t>다운로드</x:t>
    </x:r>
    <x:r>
      <mc:AlternateContent xmlns:mc="http://schemas.openxmlformats.org/markup-compatibility/2006">
        <mc:Choice xmlns:hs="http://schemas.haansoft.com/office/spreadsheet/8.0" Requires="hs">
          <x:rPr hs:extension="1">
            <x:rFont val="Calibri"/>
            <x:sz val="10"/>
            <x:color rgb="ff0563c1"/>
            <x:b val="1"/>
            <hs:size val="100"/>
            <hs:ratio val="100"/>
            <hs:spacing val="0"/>
            <hs:offset val="0"/>
          </x:rPr>
        </mc:Choice>
        <mc:Fallback>
          <x:rPr>
            <x:rFont val="Calibri"/>
            <x:sz val="10"/>
            <x:color rgb="ff0563c1"/>
            <x:b val="1"/>
          </x:rPr>
        </mc:Fallback>
      </mc:AlternateContent>
      <x:t xml:space="preserve"> - https://xlworks.net/xlgantt-project-scheduler/ </x:t>
    </x:r>
  </x:si>
  <x:si>
    <x:t>SCHEDULE_SHEET_POSITION:3545151617181920212223242526272829303132</x:t>
  </x:si>
  <x:si>
    <x:t>https://xlworks.net/en/xlgantt-howto-2-input-task-update-schedule/</x:t>
  </x:si>
  <x:si>
    <x:t>You can include the formulas and functions of the Excel in XLGantt.</x:t>
  </x:si>
  <x:si>
    <x:t>{2} sheet의 {1}행의 날짜는 입력되었는데 작업필드가 비어있습니다.\n작업필드의 값을 채우거나 날짜를 지우세요.</x:t>
  </x:si>
  <x:si>
    <x:t>{} sheet 첫행의 작업이 1 Level이 아닙니다. 첫행의 작업이 첫째칸이 아닌 다른 칸에 입력되었는지 확인하세요.</x:t>
  </x:si>
  <x:si>
    <x:t>https://xlworks.net/xlgantt-howto-06-schedule-change-management/</x:t>
  </x:si>
  <x:si>
    <x:t>Manages the planned schedule and actual schedule of the project.</x:t>
  </x:si>
  <x:si>
    <x:t>{2} sheet의 {1}행의 실제시작일만 입력하고 실제완료일을 비워놓으면 완료율을 100%로 입력할 수 없습니다.</x:t>
  </x:si>
  <x:si>
    <x:t>Earned value on planned schedule(Total Duration x %Work Complete)</x:t>
  </x:si>
  <x:si>
    <x:t>Import new data into the Schedule sheet after clearing the exisint data</x:t>
  </x:si>
  <x:si>
    <x:t>Task name field.It's also referred to as "Work" or "Activity" or etc.</x:t>
  </x:si>
  <x:si>
    <x:t>The finish date format of row number {1} in the {2} sheet is invalid.</x:t>
  </x:si>
  <x:si>
    <x:t>The start date format of row number {1} in the {2} sheet is invalid.</x:t>
  </x:si>
  <x:si>
    <x:t>* Automactically calulated if you click the "Update Schedule" button</x:t>
  </x:si>
  <x:si>
    <x:t>An error occurred while processing. Please check the messages below.</x:t>
  </x:si>
  <x:si>
    <x:t>프로젝트의 현황을 파악할 수 있는 진행율, Workload 등의 분석 리포트와 분석용 Workload data를 제공한다.</x:t>
  </x:si>
  <x:si>
    <x:t>"같은 필드에 작업명 표시" 옵션을 선택했으면 WBS No. 또는 개요수준(WBS Level) 필드 중 하나는 선택되어야 합니다</x:t>
  </x:si>
  <x:si>
    <x:t>Import file format Error! Range A2 should contain the import result.</x:t>
  </x:si>
  <x:si>
    <x:t>https://xlworks.net/en/xlgantt-howto-1-getting-started-with-xlgantt/</x:t>
  </x:si>
  <x:si>
    <x:t>* 담당별로 투입된 Task와 총작업량, 계획작업량, 진척작업을 Man-day로 보여주고, 계획/실적 진행율을 보여줍니다.</x:t>
  </x:si>
  <x:si>
    <x:t>파일을 열수 없습니다. 환경설정&gt;산출물관리 탭에서 "산출물 관리를 할 경우에 체크하세요" 옵션을 체크상태로 변경해 주세요.</x:t>
  </x:si>
  <x:si>
    <x:t>Specifies the save path of the deliverables and open the deliverables.</x:t>
  </x:si>
  <x:si>
    <x:t>The start date of row number {1} in the {2} sheet is later than the finish date.</x:t>
  </x:si>
  <x:si>
    <x:t>An error occurred while checking for updates. Please try again \nError Message: {}</x:t>
  </x:si>
  <x:si>
    <x:t>You can use only start and finish dates. So you can not manage schedule changes.</x:t>
  </x:si>
  <x:si>
    <x:t>Actual %Complete is invalid. Enter a number only. Verify row {} of the source file.</x:t>
  </x:si>
  <x:si>
    <x:t>Imports schedules into XLGantt. You can import the schedules by mapping the fields.</x:t>
  </x:si>
  <x:si>
    <x:t>You can click the "Options" button on the ribbon to customize a Gantt chart style.</x:t>
  </x:si>
  <x:si>
    <x:t>* XLGantt 파일이 아닌 Excel파일(1행은 제목, 2행부터 내용이 있는 파일)\n* 자료갯수 제한 없음\n* 한번에 한개의 파일만 처리됨</x:t>
  </x:si>
  <x:si>
    <x:t>The {} sheet does not exist. Please check that you changed or deleted the sheet.</x:t>
  </x:si>
  <x:si>
    <x:t>The following files have been successfully imported.</x:t>
  </x:si>
  <x:si>
    <x:t>The process was terminated due to the {} sheet error.</x:t>
  </x:si>
  <x:si>
    <x:t>실적진척율에 숫자가 아닌 값이 포함되어 있습니다. Import하는 파일의 {}행을 확인하세요.</x:t>
  </x:si>
  <x:si>
    <x:t>You can not add "Outlook Tasks" in the selected area.</x:t>
  </x:si>
  <x:si>
    <x:t>Start date field of a task. It must be in date format.</x:t>
  </x:si>
  <x:si>
    <x:t>실제시작일자에 날짜가 아닌 값이 포함되어 있습니다. Import하는 파일의 {}행을 확인하세요.</x:t>
  </x:si>
  <x:si>
    <x:t>다음 작업은 이미 등록되어 있으므로 등록하지 않습니다.\n\n작업명 : {1} \n시작일 : {2}</x:t>
  </x:si>
  <x:si>
    <x:t>이 XLGantt파일에 있는 Data를 그대로 두고 맨 아래에 새로운 Data를 가져와서 붙여 넣기</x:t>
  </x:si>
  <x:si>
    <x:t>Project Progress - When not managing schedule changes</x:t>
  </x:si>
  <x:si>
    <x:t>오류! 계산된 Total Man-Day가 {} sheet의 Total Man-Day와 다릅니다.</x:t>
  </x:si>
  <x:si>
    <x:t>자원 필드입니다. 담당자, 리소스 등의 이름으로 불리기도 합니다. 해당 작업의 담당자를 표시합니다</x:t>
  </x:si>
  <x:si>
    <x:t>{2} sheet의 {1}행의 실제완료일이 날짜형식이 아닙니다. 정확한 날짜형식으로 입력하세요.</x:t>
  </x:si>
  <x:si>
    <x:t>{2} sheet의 {1}행의 실제시작일이 날짜형식이 아닙니다. 정확한 날짜형식으로 입력하세요.</x:t>
  </x:si>
  <x:si>
    <x:t>A열부터 C열까지는 XLGantt프로그램에서 사용하는 영역이므로 임의로 열을 추가할 수 없습니다.</x:t>
  </x:si>
  <x:si>
    <x:t>Server가 별도로 존재하는 IT시스템의 일정관리 Data를 PC에서 보고자할 때 사용한다.</x:t>
  </x:si>
  <x:si>
    <x:t>https://xlworks.net/xlgantt-howto-10-import-schedule/</x:t>
  </x:si>
  <x:si>
    <x:t>(Hidden sheet) Contains language-specific translations.</x:t>
  </x:si>
  <x:si>
    <x:t>Microsoft Outlook을 사용할 수 없습니다.\n정상적으로 설치되어 있는지 확인하세요.</x:t>
  </x:si>
  <x:si>
    <x:t>* This sheet shows you project progresses by months.</x:t>
  </x:si>
  <x:si>
    <x:t>실제완료일자에 날짜가 아닌 값이 포함되어 있습니다. Import하는 파일의 {}행을 확인하세요.</x:t>
  </x:si>
  <x:si>
    <x:t>Check if you save deliverables in specific directory</x:t>
  </x:si>
  <x:si>
    <x:t>Would you like to update the schedule before saving?</x:t>
  </x:si>
  <x:si>
    <x:t>* "Workload(주별)" 또는 "Workload(월별)" 메뉴를 클릭해야 내용이 갱신됩니다.</x:t>
  </x:si>
  <x:si>
    <x:t>The number of Level must be less than or equal to {}</x:t>
  </x:si>
  <x:si>
    <x:t>You can indent or outdent tasks only on the {} sheet.</x:t>
  </x:si>
  <x:si>
    <x:t>다음 작업은 이미 등록되어 있으므로 등록하지 않습니다.\n\n작업명 : {1} \n기한 : {2}</x:t>
  </x:si>
  <x:si>
    <x:t>Finish date field of a task. It must be in date format.</x:t>
  </x:si>
  <x:si>
    <x:t>Task area was not selected. Please select a task area.</x:t>
  </x:si>
  <x:si>
    <x:t>https://xlworks.net/en/xlgantt-howto-03-gantt-chart/</x:t>
  </x:si>
  <x:si>
    <x:t>https://xlworks.net/xlgantt-howto-04-project-progress/</x:t>
  </x:si>
  <x:si>
    <x:t>https://xlworks.net/en/xlgantt-howto-07-deliverables/</x:t>
  </x:si>
  <x:si>
    <x:t>https://xlworks.net/xlgantt-howto-05-analysis-report/</x:t>
  </x:si>
  <x:si>
    <x:t>https://xlworks.net/en/xlgantt-howto-13-server-data/</x:t>
  </x:si>
  <x:si>
    <x: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x:t>
  </x:si>
  <x:si>
    <x:t>Source파일에서 Target파일로 가져오기 위해서 각각의 필드를 Mapping합니다. 
Source파일의 필드를 먼저 선택하고 해당되는 필드를 Targe파일에서 찾아서 Mapping합니다.</x:t>
  </x:si>
  <x:si>
    <x:t>언어설정이 변경되었습니다.\n확인버튼을 누르면 번역을 시작합니다. 번역은 시간이 걸릴 수 있습니다. \n리본메뉴, 팝업메뉴의 언어는 이 XLGantt파일을 닫은 후 새로 열어야 번역이 적용됩니다.</x:t>
  </x:si>
  <x:si>
    <x:t>엑셀매크로 파일은 가져오기를 할 수 없습니다. xls 또는 xlsx파일로 저장하여 작업하시기 바랍니다. 만약 XLGantt파일인 경우에는 "XLGantt로 작성된 파일 가져오기"에서 작업 가능합니다</x:t>
  </x:si>
  <x:si>
    <x:t>The first column of Gantt area has been deleted. Please retry after changing the sheet to its previous state.</x:t>
  </x:si>
  <x:si>
    <x:t>The "Planned Duration" column has been deleted. Please retry after changing the sheet to its previous state.</x:t>
  </x:si>
  <x:si>
    <x:t>The actual finish date of the row number {1} in the {2} sheet was entered, but the actual start date is empty.</x:t>
  </x:si>
  <x:si>
    <x:t>The "Actual Total Work" column has been deleted. Please retry after changing the sheet to its previous state.</x:t>
  </x:si>
  <x:si>
    <x:t xml:space="preserve">Set path by the task name automatically\n(in this case, specify the upper path of automatically assigned path) </x:t>
  </x:si>
  <x:si>
    <x:t>The "Actual Start Date" column has been deleted. Please retry after changing the sheet to its previous state.</x:t>
  </x:si>
  <x:si>
    <x:t>The "Actual Finish Date" column has been deleted. Please retry after changing the sheet to its previous state.</x:t>
  </x:si>
  <x:si>
    <x:t>{2} sheet의 {1}행의 실젝 시작일 또는 완료일이 프로젝트 기간을 벗어났습니다.</x:t>
  </x:si>
  <x:si>
    <x:t>Bar chart형태로 간트차트를 보여주며 여러 가지 표시방법을 옵션에서 설정할 수 있다.</x:t>
  </x:si>
  <x:si>
    <x:t>https://xlworks.net/xlgantt-howto-03-gantt-chart/</x:t>
  </x:si>
  <x:si>
    <x:t>https://xlworks.net/en/xlgantt-project-scheduler/</x:t>
  </x:si>
  <x:si>
    <x:t>You selected {} areas. Please select only one area.</x:t>
  </x:si>
  <x:si>
    <x:t>{2} sheet의 {1}행의 시작일이 날짜형식이 아닙니다. 정확한 날짜형식으로 입력하세요.</x:t>
  </x:si>
  <x:si>
    <x:t>https://xlworks.net/xlgantt-howto-07-deliverables/</x:t>
  </x:si>
  <x:si>
    <x:t>Project Progress - When managing schedule changes</x:t>
  </x:si>
  <x:si>
    <x:t>Display font color to gray for the completed tasks</x:t>
  </x:si>
  <x:si>
    <x:t>Display interior color to gray for the task groups</x:t>
  </x:si>
  <x:si>
    <x:t xml:space="preserve"> Setting nonworking days in the project calendar</x:t>
  </x:si>
  <x:si>
    <x:t>Please enter the path where deliverables are saved.</x:t>
  </x:si>
  <x:si>
    <x:t>The format of the project finish date is invalid.</x:t>
  </x:si>
  <x:si>
    <x:t>현재날짜까지 실제로 진행된 진척율, WBS의 "실적진척율"의 전체 합계 진척율을 표시함</x:t>
  </x:si>
  <x:si>
    <x:t>Set program execution paths to open deliverables</x:t>
  </x:si>
  <x:si>
    <x:t>Follow the language setting of your computer O/S</x:t>
  </x:si>
  <x:si>
    <x:t>일정변경관리 하지 않을 때 현재까지 실제로 진행된 작업기간을 표시함(총기간 x 총실적진행율)</x:t>
  </x:si>
  <x:si>
    <x:t>완료일자에 날짜가 아닌 값이 포함되어 있습니다. Import하는 파일의 {}행을 확인하세요.</x:t>
  </x:si>
  <x:si>
    <x:t>The format of the project start date is invalid.</x:t>
  </x:si>
  <x:si>
    <x:t>최신버전 확인 중 에러가 발생했습니다. 잠시 후 다시 시도하세요.\n에러메시지 : {}</x:t>
  </x:si>
  <x:si>
    <x:t>해당작업의 시작일부터 현재일까지의 작업기간을 의미함(현재 날짜까지 진행되었어야 할 기간)</x:t>
  </x:si>
  <x:si>
    <x:t>시작일자에 날짜가 아닌 값이 포함되어 있습니다. Import하는 파일의 {}행을 확인하세요.</x:t>
  </x:si>
  <x:si>
    <x:t>You can add "Outlook Tasks" only on the {} sheet.</x:t>
  </x:si>
  <x:si>
    <x:t>컴퓨터 O/S에 설정된 언어와 관계없이 사용자가 표시할 언어를 직접 선택할 수 
있습니다.</x:t>
  </x:si>
  <x:si>
    <x:t>가져오는 파일의 포맷이 잘못되었습니다. A2셀에는 가져오기 결과가 입력되어 있어야 합니다.</x:t>
  </x:si>
  <x:si>
    <x:t>* This sheet shows you project progresses by weeks.</x:t>
  </x:si>
  <x:si>
    <x:t>https://xlworks.net/en/xlgantt-howto-11-calendar/</x:t>
  </x:si>
  <x:si>
    <x:t>https://xlworks.net/xlgantt-howto-13-server-data/</x:t>
  </x:si>
  <x:si>
    <x:t>* This sheet shows you workload and %Work complete.</x:t>
  </x:si>
  <x:si>
    <x:t>이 XLGantt파일에 있는 Data를 지우고 새로운 Data를 가져와서 
붙여 넣기</x:t>
  </x:si>
  <x:si>
    <x:t>{2} sheet의 {1}행의 완료일이 날짜형식이 아닙니다. 정확한 날짜형식으로 입력하세요.</x:t>
  </x:si>
  <x:si>
    <x:t>{} 행의 Level이 맞지 않습니다. Level을 1보다 크게 증가했는지 확인하세요.</x:t>
  </x:si>
  <x:si>
    <x:r>
      <x:t xml:space="preserve">XLGantt 4.7.0 ©XLWorks </x:t>
    </x:r>
    <x:r>
      <mc:AlternateContent xmlns:mc="http://schemas.openxmlformats.org/markup-compatibility/2006">
        <mc:Choice xmlns:hs="http://schemas.haansoft.com/office/spreadsheet/8.0" Requires="hs">
          <x:rPr hs:extension="1">
            <x:rFont val="Calibri"/>
            <x:sz val="9"/>
            <x:color rgb="ffff8800"/>
            <x:b val="1"/>
            <hs:size val="100"/>
            <hs:ratio val="100"/>
            <hs:spacing val="0"/>
            <hs:offset val="0"/>
          </x:rPr>
        </mc:Choice>
        <mc:Fallback>
          <x:rPr>
            <x:rFont val="Calibri"/>
            <x:sz val="9"/>
            <x:color rgb="ffff8800"/>
            <x:b val="1"/>
          </x:rPr>
        </mc:Fallback>
      </mc:AlternateContent>
      <x:t xml:space="preserve"> </x:t>
    </x:r>
    <x:r>
      <mc:AlternateContent xmlns:mc="http://schemas.openxmlformats.org/markup-compatibility/2006">
        <mc:Choice xmlns:hs="http://schemas.haansoft.com/office/spreadsheet/8.0" Requires="hs">
          <x:rPr hs:extension="1">
            <x:rFont val="돋움"/>
            <x:sz val="9"/>
            <x:color rgb="ffff8800"/>
            <x:b val="1"/>
            <hs:size val="100"/>
            <hs:ratio val="100"/>
            <hs:spacing val="0"/>
            <hs:offset val="0"/>
          </x:rPr>
        </mc:Choice>
        <mc:Fallback>
          <x:rPr>
            <x:rFont val="돋움"/>
            <x:sz val="9"/>
            <x:color rgb="ffff8800"/>
            <x:b val="1"/>
          </x:rPr>
        </mc:Fallback>
      </mc:AlternateContent>
      <x:t>주별보기</x:t>
    </x:r>
    <x:r>
      <mc:AlternateContent xmlns:mc="http://schemas.openxmlformats.org/markup-compatibility/2006">
        <mc:Choice xmlns:hs="http://schemas.haansoft.com/office/spreadsheet/8.0" Requires="hs">
          <x:rPr hs:extension="1">
            <x:rFont val="Calibri"/>
            <x:sz val="9"/>
            <x:color rgb="ffff8800"/>
            <x:b val="1"/>
            <hs:size val="100"/>
            <hs:ratio val="100"/>
            <hs:spacing val="0"/>
            <hs:offset val="0"/>
          </x:rPr>
        </mc:Choice>
        <mc:Fallback>
          <x:rPr>
            <x:rFont val="Calibri"/>
            <x:sz val="9"/>
            <x:color rgb="ffff8800"/>
            <x:b val="1"/>
          </x:rPr>
        </mc:Fallback>
      </mc:AlternateContent>
      <x:t xml:space="preserve">, Zoom 100%, </x:t>
    </x:r>
    <x:r>
      <mc:AlternateContent xmlns:mc="http://schemas.openxmlformats.org/markup-compatibility/2006">
        <mc:Choice xmlns:hs="http://schemas.haansoft.com/office/spreadsheet/8.0" Requires="hs">
          <x:rPr hs:extension="1">
            <x:rFont val="돋움"/>
            <x:sz val="9"/>
            <x:color rgb="ffff8800"/>
            <x:b val="1"/>
            <hs:size val="100"/>
            <hs:ratio val="100"/>
            <hs:spacing val="0"/>
            <hs:offset val="0"/>
          </x:rPr>
        </mc:Choice>
        <mc:Fallback>
          <x:rPr>
            <x:rFont val="돋움"/>
            <x:sz val="9"/>
            <x:color rgb="ffff8800"/>
            <x:b val="1"/>
          </x:rPr>
        </mc:Fallback>
      </mc:AlternateContent>
      <x:t>계산</x:t>
    </x:r>
    <x:r>
      <mc:AlternateContent xmlns:mc="http://schemas.openxmlformats.org/markup-compatibility/2006">
        <mc:Choice xmlns:hs="http://schemas.haansoft.com/office/spreadsheet/8.0" Requires="hs">
          <x:rPr hs:extension="1">
            <x:rFont val="Calibri"/>
            <x:sz val="9"/>
            <x:color rgb="ffff8800"/>
            <x:b val="1"/>
            <hs:size val="100"/>
            <hs:ratio val="100"/>
            <hs:spacing val="0"/>
            <hs:offset val="0"/>
          </x:rPr>
        </mc:Choice>
        <mc:Fallback>
          <x:rPr>
            <x:rFont val="Calibri"/>
            <x:sz val="9"/>
            <x:color rgb="ffff8800"/>
            <x:b val="1"/>
          </x:rPr>
        </mc:Fallback>
      </mc:AlternateContent>
      <x:t xml:space="preserve"> </x:t>
    </x:r>
    <x:r>
      <mc:AlternateContent xmlns:mc="http://schemas.openxmlformats.org/markup-compatibility/2006">
        <mc:Choice xmlns:hs="http://schemas.haansoft.com/office/spreadsheet/8.0" Requires="hs">
          <x:rPr hs:extension="1">
            <x:rFont val="돋움"/>
            <x:sz val="9"/>
            <x:color rgb="ffff8800"/>
            <x:b val="1"/>
            <hs:size val="100"/>
            <hs:ratio val="100"/>
            <hs:spacing val="0"/>
            <hs:offset val="0"/>
          </x:rPr>
        </mc:Choice>
        <mc:Fallback>
          <x:rPr>
            <x:rFont val="돋움"/>
            <x:sz val="9"/>
            <x:color rgb="ffff8800"/>
            <x:b val="1"/>
          </x:rPr>
        </mc:Fallback>
      </mc:AlternateContent>
      <x:t>옵션</x:t>
    </x:r>
    <x:r>
      <mc:AlternateContent xmlns:mc="http://schemas.openxmlformats.org/markup-compatibility/2006">
        <mc:Choice xmlns:hs="http://schemas.haansoft.com/office/spreadsheet/8.0" Requires="hs">
          <x:rPr hs:extension="1">
            <x:rFont val="Calibri"/>
            <x:sz val="9"/>
            <x:color rgb="ffff8800"/>
            <x:b val="1"/>
            <hs:size val="100"/>
            <hs:ratio val="100"/>
            <hs:spacing val="0"/>
            <hs:offset val="0"/>
          </x:rPr>
        </mc:Choice>
        <mc:Fallback>
          <x:rPr>
            <x:rFont val="Calibri"/>
            <x:sz val="9"/>
            <x:color rgb="ffff8800"/>
            <x:b val="1"/>
          </x:rPr>
        </mc:Fallback>
      </mc:AlternateContent>
      <x:t xml:space="preserve"> : </x:t>
    </x:r>
    <x:r>
      <mc:AlternateContent xmlns:mc="http://schemas.openxmlformats.org/markup-compatibility/2006">
        <mc:Choice xmlns:hs="http://schemas.haansoft.com/office/spreadsheet/8.0" Requires="hs">
          <x:rPr hs:extension="1">
            <x:rFont val="돋움"/>
            <x:sz val="9"/>
            <x:color rgb="ffff8800"/>
            <x:b val="1"/>
            <hs:size val="100"/>
            <hs:ratio val="100"/>
            <hs:spacing val="0"/>
            <hs:offset val="0"/>
          </x:rPr>
        </mc:Choice>
        <mc:Fallback>
          <x:rPr>
            <x:rFont val="돋움"/>
            <x:sz val="9"/>
            <x:color rgb="ffff8800"/>
            <x:b val="1"/>
          </x:rPr>
        </mc:Fallback>
      </mc:AlternateContent>
      <x:t>자동</x:t>
    </x:r>
  </x:si>
  <x:si>
    <x:t>총작업량(A)
Man-day</x:t>
  </x:si>
  <x:si>
    <x:t>계획작업량(B)
Man-day</x:t>
  </x:si>
  <x:si>
    <x:t>실적기성( C )
Man-day</x:t>
  </x:si>
  <x:si>
    <x:t>Total\nWork</x:t>
  </x:si>
  <x:si>
    <x:t>UI Design</x:t>
  </x:si>
  <x:si>
    <x:t>Today only</x:t>
  </x:si>
  <x:si>
    <x:t>Analysis</x:t>
  </x:si>
  <x:si>
    <x:t>Calendar</x:t>
  </x:si>
  <x:si>
    <x:t>All tasks</x:t>
  </x:si>
  <x:si>
    <x:t>Extension</x:t>
  </x:si>
  <x:si>
    <x:t>Filter Task</x:t>
  </x:si>
  <x:si>
    <x:t>Edit a Task</x:t>
  </x:si>
  <x:si>
    <x:t>Finish Date</x:t>
  </x:si>
  <x:si>
    <x:t>Indent Task</x:t>
  </x:si>
  <x:si>
    <x:t>Job Results</x:t>
  </x:si>
  <x:si>
    <x:t>Language</x:t>
  </x:si>
  <x:si>
    <x:t>Mapping &gt;&gt;</x:t>
  </x:si>
  <x:si>
    <x:t>mm/dd/yyyy</x:t>
  </x:si>
  <x:si>
    <x:t>mmmm yyyy</x:t>
  </x:si>
  <x:si>
    <x:t>Pick a Date</x:t>
  </x:si>
  <x:si>
    <x:t>Powerpoint</x:t>
  </x:si>
  <x:si>
    <x:t>Progress</x:t>
  </x:si>
  <x:si>
    <x:t>Settings</x:t>
  </x:si>
  <x:si>
    <x:t>Start Date</x:t>
  </x:si>
  <x:si>
    <x:t>Task Name</x:t>
  </x:si>
  <x:si>
    <x: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x:t>
  </x:si>
  <x:si>
    <x:t>https://xlworks.net/en/xlgantt-howto-04-project-progress/</x:t>
  </x:si>
  <x:si>
    <x:t>Positive - ahead of schedule, Negative - behind schedule</x:t>
  </x:si>
  <x:si>
    <x:t>You can't remove the default languages(English and Korean).</x:t>
  </x:si>
  <x:si>
    <x:t>다음 파일은 지원하지 않는 형식입니다. XLGantt Version 0.9.7 이상 버전만 지원합니다.</x:t>
  </x:si>
  <x:si>
    <x:t>The task of the first row of the {} sheet is not level 1.</x:t>
  </x:si>
  <x:si>
    <x:t>Finish date is invalid. Verify row {} of the source file.</x:t>
  </x:si>
  <x:si>
    <x:t>Start date is invalid. Verify row {} of the source file.</x:t>
  </x:si>
  <x:si>
    <x:t>엑셀간트에서는 엑셀간트(XLGantt) 또는 일반 엑셀파일로 만들어진 일정을 가져오는 기능을 제공한다.</x:t>
  </x:si>
  <x:si>
    <x:t>https://xlworks.net/en/xlgantt-howto-10-import-schedule/</x:t>
  </x:si>
  <x:si>
    <x:t>https://xlworks.net/xlgantt-howto-08-add-tasks-to-outlook/</x:t>
  </x:si>
  <x:si>
    <x:t>다음의 XLGantt파일은 지원하지 않는 버전입니다. Version 0.9.7 이상 버전만 지원합니다.</x:t>
  </x:si>
  <x:si>
    <x:t>You can add "Outlook Appointments" only on the {} sheet.</x:t>
  </x:si>
  <x:si>
    <x:t>한주의 시작은 월요일이며 년도의 첫번째 목요일을 포함하는 주가 첫주가 되는 방식(ISO 8601 표준)</x:t>
  </x:si>
  <x:si>
    <x:t>Planned workload from the start date to the current date</x:t>
  </x:si>
  <x:si>
    <x:t>https://xlworks.net/en/xlgantt-howto-05-analysis-report/</x:t>
  </x:si>
  <x:si>
    <x:t>https://xlworks.net/xlgantt-howto-09-multilingual-support/</x:t>
  </x:si>
  <x:si>
    <x:t>There is no input data. Please enter after reformatting.</x:t>
  </x:si>
  <x:si>
    <x:t>resource</x:t>
  </x:si>
  <x:si>
    <x:t>AUTHOR_NAME</x:t>
  </x:si>
  <x:si>
    <x:t>12/31/2018</x:t>
  </x:si>
  <x:si>
    <x:t>By Duration</x:t>
  </x:si>
  <x:si>
    <x:t xml:space="preserve">Duration </x:t>
  </x:si>
  <x:si>
    <x:t>By Resource</x:t>
  </x:si>
  <x:si>
    <x:t>Daily view</x:t>
  </x:si>
  <x:si>
    <x:t>Contains</x:t>
  </x:si>
  <x:si>
    <x:t xml:space="preserve">Percent </x:t>
  </x:si>
  <x:si>
    <x:t>Weekly view</x:t>
  </x:si>
  <x:si>
    <x:t>New Version</x:t>
  </x:si>
  <x:si>
    <x:t>Text Index</x:t>
  </x:si>
  <x:si>
    <x:t>Reserved</x:t>
  </x:si>
  <x:si>
    <x:t>Description</x:t>
  </x:si>
  <x:si>
    <x:t>Group rows</x:t>
  </x:si>
  <x:si>
    <x:t>Resources</x:t>
  </x:si>
  <x:si>
    <x:t>Total__Work</x:t>
  </x:si>
  <x:si>
    <x:t>yyyy/mm/dd</x:t>
  </x:si>
  <x:si>
    <x:t>Schedule</x:t>
  </x:si>
  <x:si>
    <x:t>task_group</x:t>
  </x:si>
  <x:si>
    <x:t>Automatic</x:t>
  </x:si>
  <x:si>
    <x:t>일정계획 변경관리</x:t>
  </x:si>
  <x:si>
    <x:t>wbs_level</x:t>
  </x:si>
  <x:si>
    <x:t>reserved</x:t>
  </x:si>
  <x:si>
    <x: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x:t>
  </x:si>
  <x:si>
    <x:t>시스템 인수인계</x:t>
  </x:si>
  <x:si>
    <x:t>프로젝트 계획 수립</x:t>
  </x:si>
  <x:si>
    <x:t>actualStart</x:t>
  </x:si>
  <x:si>
    <x:t>계획작업량 진척율</x:t>
  </x:si>
  <x:si>
    <x:t>실적기성 진척율</x:t>
  </x:si>
  <x:si>
    <x:t>실제작업량 진척율</x:t>
  </x:si>
  <x:si>
    <x:t>earnedValue</x:t>
  </x:si>
  <x:si>
    <x:t>wbsLevel06</x:t>
  </x:si>
  <x:si>
    <x:t>wbsLevel05</x:t>
  </x:si>
  <x:si>
    <x:t>wbsLevel07</x:t>
  </x:si>
  <x:si>
    <x:t>wbsLevel02</x:t>
  </x:si>
  <x:si>
    <x:t>wbsLevel03</x:t>
  </x:si>
  <x:si>
    <x:t>wbsLevel01</x:t>
  </x:si>
  <x:si>
    <x:t>wbsLevel04</x:t>
  </x:si>
  <x:si>
    <x:t>weekNumber</x:t>
  </x:si>
  <x:si>
    <x:t>wbsLevel10</x:t>
  </x:si>
  <x:si>
    <x:t>Workload</x:t>
  </x:si>
  <x:si>
    <x:t>wbsLevel09</x:t>
  </x:si>
  <x:si>
    <x:t>Workloads</x:t>
  </x:si>
  <x:si>
    <x:t>wbsLevel08</x:t>
  </x:si>
  <x:si>
    <x:t>wbsLevel</x:t>
  </x:si>
  <x:si>
    <x:t>실제 투입된 작업량</x:t>
  </x:si>
  <x:si>
    <x:t>1;3;4;0;1</x:t>
  </x:si>
  <x:si>
    <x:t>2;4;8;0;1</x:t>
  </x:si>
  <x:si>
    <x:t>Workshop</x:t>
  </x:si>
  <x:si>
    <x:t>2020년 설연휴</x:t>
  </x:si>
  <x:si>
    <x:t>2020년 신정</x:t>
  </x:si>
  <x:si>
    <x:t>4;8;9;0;1</x:t>
  </x:si>
  <x:si>
    <x:t>8;14;15;0;1</x:t>
  </x:si>
  <x:si>
    <x:t>3;5;6;0;0</x:t>
  </x:si>
  <x:si>
    <x:t>7;10;14;0;1</x:t>
  </x:si>
  <x:si>
    <x:t>6;11;12;0;1</x:t>
  </x:si>
  <x:si>
    <x:t>9;15;16;0;1</x:t>
  </x:si>
  <x:si>
    <x:t>5;7;11;0;1</x:t>
  </x:si>
  <x:si>
    <x:t>Excel기능과 통합</x:t>
  </x:si>
  <x:si>
    <x:t>간트차트 타이틀</x:t>
  </x:si>
  <x:si>
    <x:t>by Weight</x:t>
  </x:si>
  <x:si>
    <x:t>Color Theme</x:t>
  </x:si>
  <x:si>
    <x:t>Appearance</x:t>
  </x:si>
  <x:si>
    <x:t>(담당자미지정)</x:t>
  </x:si>
  <x:si>
    <x:t>자원배정비율로 계산</x:t>
  </x:si>
  <x:si>
    <x:t>성능테스트Tool필요</x:t>
  </x:si>
  <x:si>
    <x:t>데이터베이스 설계</x:t>
  </x:si>
  <x:si>
    <x:t>XYZ시스템 구축</x:t>
  </x:si>
  <x:si>
    <x:t>Project X</x:t>
  </x:si>
  <x:si>
    <x:t>2020년 추석연휴</x:t>
  </x:si>
  <x:si>
    <x:t>2020년 추석</x:t>
  </x:si>
  <x:si>
    <x:t>2021년 설연휴</x:t>
  </x:si>
  <x:si>
    <x:t>2021년 삼일절</x:t>
  </x:si>
  <x:si>
    <x:t>2021년 신정</x:t>
  </x:si>
  <x:si>
    <x:t>2021년 어린이날</x:t>
  </x:si>
  <x:si>
    <x:t>2020년 어린이날</x:t>
  </x:si>
  <x:si>
    <x:t>2020년 한글날</x:t>
  </x:si>
  <x:si>
    <x:t>2021년 설날</x:t>
  </x:si>
  <x:si>
    <x:t>2020년 성탄절</x:t>
  </x:si>
  <x:si>
    <x:t>간트차트 위의 타이틀</x:t>
  </x:si>
  <x:si>
    <x:t>계획보다 늦게 시작됨</x:t>
  </x:si>
  <x:si>
    <x:t>2021년 추석</x:t>
  </x:si>
  <x:si>
    <x:t>On schedule</x:t>
  </x:si>
  <x:si>
    <x:t>일정변경 관리할 때</x:t>
  </x:si>
  <x:si>
    <x:t>간트차트 진척율선</x:t>
  </x:si>
  <x:si>
    <x:t>계획대비 실적 차이</x:t>
  </x:si>
  <x:si>
    <x:t>2021년 추석연휴</x:t>
  </x:si>
  <x:si>
    <x:t>계획보다 일찍 시작됨</x:t>
  </x:si>
  <x:si>
    <x:t>12/1/2018</x:t>
  </x:si>
  <x:si>
    <x:t>실적 열에 표시됨</x:t>
  </x:si>
  <x:si>
    <x:t>&lt;&lt; Unmap</x:t>
  </x:si>
  <x:si>
    <x:t>&lt;&lt; Remove</x:t>
  </x:si>
  <x:si>
    <x:t>How to use</x:t>
  </x:si>
  <x:si>
    <x:t>프로젝트 범위정의</x:t>
  </x:si>
  <x:si>
    <x:t>실제
총작업량</x:t>
  </x:si>
  <x:si>
    <x:t xml:space="preserve">0.00% Architecture설계 10/14-10/28 </x:t>
  </x:si>
  <x:si>
    <x:t>계획 작업량
(현재일까지ManDay,
가중치 감안)</x:t>
  </x:si>
  <x:si>
    <x:t>이 Sheet에서 프로젝트 Calendar를 설정하세요.</x:t>
  </x:si>
  <x:si>
    <x:t>Task(작업명, 이름 등)는 반드시 입력되어야 합니다.</x:t>
  </x:si>
  <x:si>
    <x:t>작업영역이 선택되지 않았습니다. 영역을 선택하세요.</x:t>
  </x:si>
  <x:si>
    <x:t>계획진척율 계산 기준일자의 날짜형식이 잘못되었습니다.</x:t>
  </x:si>
  <x:si>
    <x:t>입력된 자료가 없습니다. 입력 후 서식재설정 해 주세요.</x:t>
  </x:si>
  <x:si>
    <x:t>{} sheet의 에러로 인해 작업이 중단되었습니다.</x:t>
  </x:si>
  <x:si>
    <x:t>입력한 산출물을 열 수 있는 실행프로그램이 없습니다.</x:t>
  </x:si>
  <x:si>
    <x:t>{2} sheet의 {1}행의 가중치가 숫자가 아닙니다.</x:t>
  </x:si>
  <x:si>
    <x:t>스케줄업데이트 중입니다...\n잠시만 기다려 주세요...</x:t>
  </x:si>
  <x:si>
    <x:t>1월 1일을 포함하는 주가 년도의 첫주가 되는 방식</x:t>
  </x:si>
  <x:si>
    <x:t>일정변경관리 할때 실적기성(총기간 x 총실적진행율)</x:t>
  </x:si>
  <x:si>
    <x:t>Project Progresses by Months</x:t>
  </x:si>
  <x:si>
    <x:t>Create Workload Data by Weeks</x:t>
  </x:si>
  <x:si>
    <x:t>Create Workload Data by Months</x:t>
  </x:si>
  <x:si>
    <x:t>Integration with Excel Features</x:t>
  </x:si>
  <x:si>
    <x:t>XLGantt  - Project Scheduler</x:t>
  </x:si>
  <x:si>
    <x:t>reserved index, for help sheet</x:t>
  </x:si>
  <x:si>
    <x:t>Display date on the timescale</x:t>
  </x:si>
  <x:si>
    <x:t>Display year on the timescale</x:t>
  </x:si>
  <x:si>
    <x:t>Getting Started With XLGantt</x:t>
  </x:si>
  <x:si>
    <x:t>Name:chkYearDispOverTimescale</x:t>
  </x:si>
  <x:si>
    <x:t>자원배정비율은 다음과 같은 형식으로 입력되어야 합니다.</x:t>
  </x:si>
  <x:si>
    <x:t>by Resource Allocation Ratio</x:t>
  </x:si>
  <x:si>
    <x:t>1:English,82:Korean,999:Custom</x:t>
  </x:si>
  <x:si>
    <x:t>Started earlier than planned</x:t>
  </x:si>
  <x:si>
    <x:t>When managing schedule changes</x:t>
  </x:si>
  <x:si>
    <x:t>Star(*) marks-required fields</x:t>
  </x:si>
  <x:si>
    <x:t>XLGantt Version {} Terms of Use</x:t>
  </x:si>
  <x:si>
    <x:t>Enter tasks, Update schedule</x:t>
  </x:si>
  <x:si>
    <x:t>Release 및 Contingency plan수립</x:t>
  </x:si>
  <x:si>
    <x:t>실적진척율은 0~100% 범위만 입력가능합니다.</x:t>
  </x:si>
  <x:si>
    <x:t>실제 총작업량\n(총ManDay,
가중치 감안)</x:t>
  </x:si>
  <x:si>
    <x:t xml:space="preserve"> 필드 명                값 예시</x:t>
  </x:si>
  <x:si>
    <x:t>Level의 갯수는 양의 정수만 가능합니다.</x:t>
  </x:si>
  <x:si>
    <x:t>총 작업량
(총ManDay,
가중치 감안)</x:t>
  </x:si>
  <x:si>
    <x:t>Display  % Work Complete</x:t>
  </x:si>
  <x:si>
    <x:t xml:space="preserve"> 필드 명                필드 값</x:t>
  </x:si>
  <x:si>
    <x:t>프로젝트 시작일의 날짜형식이 잘못되었습니다.</x:t>
  </x:si>
  <x:si>
    <x:t>Name:languageSelectionType</x:t>
  </x:si>
  <x:si>
    <x:t>Level의 갯수는 {}개까지만 가능합니다.</x:t>
  </x:si>
  <x:si>
    <x:t>Name:applyUserInputFirst</x:t>
  </x:si>
  <x:si>
    <x:t>Name:scheduleSheetPosition</x:t>
  </x:si>
  <x:si>
    <x:t>Open Deliverables Folder</x:t>
  </x:si>
  <x:si>
    <x:t>자료를 가져옵니다. 잠시만 기다려주세요...</x:t>
  </x:si>
  <x:si>
    <x:t>Name:chkImportDataOnStartup</x:t>
  </x:si>
  <x:si>
    <x:t>Calendar sheet에 입력할 필요 없음</x:t>
  </x:si>
  <x:si>
    <x:t>Name:chkWBSUpdateExecuteYN</x:t>
  </x:si>
  <x:si>
    <x:t>Actual Total Work\nMan-day</x:t>
  </x:si>
  <x:si>
    <x:t>* 주별 또는 월별 Workload를 보여줍니다.</x:t>
  </x:si>
  <x:si>
    <x:t>양수이면 계획보다 빨리 진행, 음수이면 지연</x:t>
  </x:si>
  <x:si>
    <x:t>프로젝트 완료일의 날짜형식이 잘못되었습니다.</x:t>
  </x:si>
  <x:si>
    <x:t>Name:selectedLanguageList</x:t>
  </x:si>
  <x:si>
    <x:t>{} Sheet에서만 작업을 편집할 수 있습니다.</x:t>
  </x:si>
  <x:si>
    <x:t>필드명이 비어있는 항목은 선택할 수 없습니다.</x:t>
  </x:si>
  <x:si>
    <x:t>Choose an import option.</x:t>
  </x:si>
  <x:si>
    <x:t>Name:txtGanttChartZoomRatio</x:t>
  </x:si>
  <x:si>
    <x:t>XLGantt에서 사용할 언어를 선택하세요.</x:t>
  </x:si>
  <x:si>
    <x:t>Name:lastTranslatedLanguage</x:t>
  </x:si>
  <x:si>
    <x:t>Name:dateDispOnTimescale</x:t>
  </x:si>
  <x:si>
    <x:t>Only Saturdays and Sundays</x:t>
  </x:si>
  <x:si>
    <x:t>XLGantt Version 4.7.0 사용조건</x:t>
  </x:si>
  <x:si>
    <x:t>Project Progresses by Weeks</x:t>
  </x:si>
  <x:si>
    <x:t>Actual Accumulated\nMan-Day</x:t>
  </x:si>
  <x:si>
    <x:t>* "진척율(주별)" 메뉴를 클릭해야 갱신됨</x:t>
  </x:si>
  <x:si>
    <x:t>Group rows(Max 8 Levels)</x:t>
  </x:si>
  <x:si>
    <x:t>Earned Value(C)\nMan-day</x:t>
  </x:si>
  <x:si>
    <x:t>Started later than planned</x:t>
  </x:si>
  <x:si>
    <x:t>Help and the latest version</x:t>
  </x:si>
  <x:si>
    <x:t>Gantt chart group task bar</x:t>
  </x:si>
  <x:si>
    <x:t>Planned Workload Progress</x:t>
  </x:si>
  <x:si>
    <x:t>프로젝트 진척율 - 일정변경 관리하지 않을때</x:t>
  </x:si>
  <x:si>
    <x:t>Resource Allocation Ratio</x:t>
  </x:si>
  <x:si>
    <x:t>Name:txtNumberOfTaskColumn</x:t>
  </x:si>
  <x:si>
    <x:t>Actual Workload(Man-Day)</x:t>
  </x:si>
  <x:si>
    <x:t>Actual Workload Progress</x:t>
  </x:si>
  <x:si>
    <x:t>Gantt chart sub task bar</x:t>
  </x:si>
  <x:si>
    <x:t>* "진척율(월별)" 메뉴를 클릭해야 갱신됨</x:t>
  </x:si>
  <x:si>
    <x:t>The same field name exists.</x:t>
  </x:si>
  <x:si>
    <x:t>Planned Workload(Man-Day)</x:t>
  </x:si>
  <x:si>
    <x:t>Microsoft Outlook작업, 일정등록</x:t>
  </x:si>
  <x:si>
    <x:t>Gantt chart progress line</x:t>
  </x:si>
  <x:si>
    <x:t>Mapping취소항목이 선택되지 않았습니다.</x:t>
  </x:si>
  <x:si>
    <x:t>한곳만 선택하세요. 현재 {}곳이 선택되었습니다.</x:t>
  </x:si>
  <x:si>
    <x:t xml:space="preserve">    프로젝트 수행 및 통제 6/11-9/15 </x:t>
  </x:si>
  <x:si>
    <x:t>Name:chkInclude2SelectList5</x:t>
  </x:si>
  <x:si>
    <x:t>Schedule Change Management</x:t>
  </x:si>
  <x:si>
    <x:t>Name:chkInclude2SelectList7</x:t>
  </x:si>
  <x:si>
    <x:t>Planned Work(B)\nMan-day</x:t>
  </x:si>
  <x:si>
    <x:t>Name:chkInclude2SelectList4</x:t>
  </x:si>
  <x:si>
    <x:t>Actually performed workload</x:t>
  </x:si>
  <x:si>
    <x:t>You can not enter any more.</x:t>
  </x:si>
  <x:si>
    <x:t>Name:txtAutoDefinedBasePath</x:t>
  </x:si>
  <x:si>
    <x:t>Variance(Actual-Planned)</x:t>
  </x:si>
  <x:si>
    <x:t>OPTIONS_DELIVERABLES_MGT</x:t>
  </x:si>
  <x:si>
    <x:t>Managing Schedule Changes</x:t>
  </x:si>
  <x:si>
    <x:t>Download the latest version</x:t>
  </x:si>
  <x:si>
    <x:t>Execution path of Program</x:t>
  </x:si>
  <x:si>
    <x:t>Add to MS Outlook Calendar</x:t>
  </x:si>
  <x:si>
    <x:t>Planned %Work Complete(A)</x:t>
  </x:si>
  <x:si>
    <x:t>Name:optScheduleChangeMgt</x:t>
  </x:si>
  <x:si>
    <x:t>Name:chkInclude2SelectList1</x:t>
  </x:si>
  <x:si>
    <x:t>Import common Excel file</x:t>
  </x:si>
  <x:si>
    <x:t>Name:chkInclude2SelectList8</x:t>
  </x:si>
  <x:si>
    <x:t>Planned %Work Complete(B/A)</x:t>
  </x:si>
  <x:si>
    <x:t>Name:chkInclude2SelectList2</x:t>
  </x:si>
  <x:si>
    <x:t>Name:chkInclude2SelectList6</x:t>
  </x:si>
  <x:si>
    <x:t>Name:chkInclude2SelectList3</x:t>
  </x:si>
  <x:si>
    <x:t>Please enter the extension.</x:t>
  </x:si>
  <x:si>
    <x:t>Total Work\n(Total ManDay)</x:t>
  </x:si>
  <x:si>
    <x:t xml:space="preserve">Rows of imported data : </x:t>
  </x:si>
  <x:si>
    <x:t>Name:projectStartDate</x:t>
  </x:si>
  <x:si>
    <x:t>There is no input data</x:t>
  </x:si>
  <x:si>
    <x:t>There is no input data.</x:t>
  </x:si>
  <x:si>
    <x:t>Start date is invalid.</x:t>
  </x:si>
  <x:si>
    <x:t>User Defined Calendar 1</x:t>
  </x:si>
  <x:si>
    <x:t>Total Work(A)\nMan-day</x:t>
  </x:si>
  <x:si>
    <x:t>The type of task fields</x:t>
  </x:si>
  <x:si>
    <x:t>Workload\n(Man-Month)</x:t>
  </x:si>
  <x:si>
    <x:t>XLGantt Version Check</x:t>
  </x:si>
  <x:si>
    <x:t>Worloads by Resources</x:t>
  </x:si>
  <x:si>
    <x:t>Actual\nTotal Duration</x:t>
  </x:si>
  <x:si>
    <x:t>Finish date is invalid.</x:t>
  </x:si>
  <x:si>
    <x:t>Progresses by Resources</x:t>
  </x:si>
  <x:si>
    <x:t>Workloads by Resouces</x:t>
  </x:si>
  <x:si>
    <x:t>Automatically defined</x:t>
  </x:si>
  <x:si>
    <x:t>Name:chkDeliverablesMgt</x:t>
  </x:si>
  <x:si>
    <x:t>Schedule Variance(B-A)</x:t>
  </x:si>
  <x:si>
    <x:t>Name:taskDispInGroup</x:t>
  </x:si>
  <x:si>
    <x:t>From (File to import )</x:t>
  </x:si>
  <x:si>
    <x:t>Planned\n%Work Complete</x:t>
  </x:si>
  <x:si>
    <x:t>Name:optFirstDayOfWeek</x:t>
  </x:si>
  <x:si>
    <x:t>Actual Total\nDuration</x:t>
  </x:si>
  <x:si>
    <x:t>Project Execution Plan</x:t>
  </x:si>
  <x:si>
    <x:t>{} file does not exist.</x:t>
  </x:si>
  <x:si>
    <x:t>User Defined Calendar 2</x:t>
  </x:si>
  <x:si>
    <x:t>Name:plannedRateDisp</x:t>
  </x:si>
  <x:si>
    <x:t>Accumulated\nMan-Day</x:t>
  </x:si>
  <x:si>
    <x:t>Name of Nonworking Days</x:t>
  </x:si>
  <x:si>
    <x:t>Not Completed(&lt;&gt;100%)</x:t>
  </x:si>
  <x:si>
    <x:t>Calendar sheet에 입력된 날짜만</x:t>
  </x:si>
  <x:si>
    <x:t>Planned__%Work Complete</x:t>
  </x:si>
  <x:si>
    <x:t>작업시작일의 날짜형식이 잘못되었습니다.</x:t>
  </x:si>
  <x:si>
    <x:t>산출물이 저장될 특정경로를 입력하세요.</x:t>
  </x:si>
  <x:si>
    <x:t>가져올 파일을 선택하세요(다중선택가능)</x:t>
  </x:si>
  <x:si>
    <x:t>Actual__Total Duration</x:t>
  </x:si>
  <x:si>
    <x:t>From Date is invalid.</x:t>
  </x:si>
  <x:si>
    <x:t>Outlook작업이 {}건 등록되었습니다.</x:t>
  </x:si>
  <x:si>
    <x:t>실제완료일의 날짜형식이 잘못되었습니다.</x:t>
  </x:si>
  <x:si>
    <x:t>Actual\nStart-Finish</x:t>
  </x:si>
  <x:si>
    <x:t>* 프로젝트 작업량과 진척율을 보여줍니다.</x:t>
  </x:si>
  <x:si>
    <x:t>실제시작일의 날짜형식이 잘못되었습니다.</x:t>
  </x:si>
  <x:si>
    <x:t>Actual Total__Duration</x:t>
  </x:si>
  <x:si>
    <x:t>Add to MS Outlook Task</x:t>
  </x:si>
  <x:si>
    <x:t>Outlook일정이 {}건 등록되었습니다.</x:t>
  </x:si>
  <x:si>
    <x:t>오류, 지정할 수 없는 필드가 있습니다</x:t>
  </x:si>
  <x:si>
    <x:t>Actual Total Duration</x:t>
  </x:si>
  <x:si>
    <x:t>Planned %Work Complete</x:t>
  </x:si>
  <x:si>
    <x:t xml:space="preserve"> 프로젝트 휴무일 Calendar 설정</x:t>
  </x:si>
  <x:si>
    <x:t>* 담당별 Workload를 보여줍니다.</x:t>
  </x:si>
  <x:si>
    <x:t>Name:optNonWorkingDays</x:t>
  </x:si>
  <x:si>
    <x:t>Drawing progress line</x:t>
  </x:si>
  <x:si>
    <x:t>Bar chart의 텍스트 표시 위치</x:t>
  </x:si>
  <x:si>
    <x:t>Level별로 다른 필드에 작업명 표시</x:t>
  </x:si>
  <x:si>
    <x:t>Gantt Chart View Style</x:t>
  </x:si>
  <x:si>
    <x:t>작업완료일의 날짜형식이 잘못되었습니다.</x:t>
  </x:si>
  <x:si>
    <x:t>XLGantt로 작성된 파일 가져오기</x:t>
  </x:si>
  <x:si>
    <x:t>산출물명 비었을때\n선택목록에 포함\n여부</x:t>
  </x:si>
  <x:si>
    <x:t>일정변경 관리 안함(시작일/완료일만 사용)</x:t>
  </x:si>
  <x:si>
    <x:t>스케줄업데이트 작업이 완료되었습니다.</x:t>
  </x:si>
  <x:si>
    <x:t>https://xlworks.net/en</x:t>
  </x:si>
  <x:si>
    <x:t>엑셀간트(XLGantt) - 엑셀 일정관리</x:t>
  </x:si>
  <x:si>
    <x:t>가져오기가 정상적으로 완료되었습니다.</x:t>
  </x:si>
  <x:si>
    <x:t>Sets nonworking days.</x:t>
  </x:si>
  <x:si>
    <x:t>Time bucket type 오류입니다.</x:t>
  </x:si>
  <x:si>
    <x:t>{} Sheet에서만 작업가능합니다.</x:t>
  </x:si>
  <x:si>
    <x:t>Multilingual Support</x:t>
  </x:si>
  <x:si>
    <x:t>WBS title - input field</x:t>
  </x:si>
  <x:si>
    <x:t>선택한 위치에서는 이동할 수 없습니다.</x:t>
  </x:si>
  <x:si>
    <x:t>Name:optRecalcWBSArea</x:t>
  </x:si>
  <x:si>
    <x:t>프로젝트 진척율 - 일정변경 관리할때</x:t>
  </x:si>
  <x:si>
    <x:t>Workload Calculation</x:t>
  </x:si>
  <x:si>
    <x:t>작업이 정상적으로 완료되지 않았습니다.</x:t>
  </x:si>
  <x:si>
    <x:t>더 이상 왼쪽으로 이동할 수 없습니다!</x:t>
  </x:si>
  <x:si>
    <x:t>xlgantt_task_connection</x:t>
  </x:si>
  <x:si>
    <x:t>작업을 그룹으로 묶기(최대 8 레벨)</x:t>
  </x:si>
  <x:si>
    <x:t>다음 파일을 성공적으로 가져왔습니다.</x:t>
  </x:si>
  <x:si>
    <x:t>선택한 위치에서는 작업할 수 없습니다.</x:t>
  </x:si>
  <x:si>
    <x:t>Week Numbers Display</x:t>
  </x:si>
  <x:si>
    <x:t>더 이상 오른쪽으로 이동할 수 없습니다!</x:t>
  </x:si>
  <x:si>
    <x:t>File저장시 "스케줄업데이트" 실행</x:t>
  </x:si>
  <x:si>
    <x:t>서버데이터 가져온 후 수행할 작업 선택</x:t>
  </x:si>
  <x:si>
    <x:t>* 주별로 프로젝트 진적율을 보여줍니다.</x:t>
  </x:si>
  <x:si>
    <x:t>Source항목이 선택되지 않았습니다.</x:t>
  </x:si>
  <x:si>
    <x:t>Earned Value(Man-Day)</x:t>
  </x:si>
  <x:si>
    <x:t>Successfully imported.</x:t>
  </x:si>
  <x:si>
    <x:t>* 월별로 프로젝트 진적율을 보여줍니다.</x:t>
  </x:si>
  <x:si>
    <x:t>Target항목이 선택되지 않았습니다.</x:t>
  </x:si>
  <x:si>
    <x:t>Earned Value Progress</x:t>
  </x:si>
  <x:si>
    <x:t>(숨겨진 시트) 언어별 번역이 들어 있다.</x:t>
  </x:si>
  <x:si>
    <x:t>Importing Server Data</x:t>
  </x:si>
  <x:si>
    <x:t>Title above Gantt chart</x:t>
  </x:si>
  <x:si>
    <x:t>XLGantt Version {} 사용조건</x:t>
  </x:si>
  <x:si>
    <x:t xml:space="preserve">XLGantt 4.7.0 ©XLWorks </x:t>
  </x:si>
  <x:si>
    <x:t>Mark task as milestone</x:t>
  </x:si>
  <x:si>
    <x:t>(Resources unspecified)</x:t>
  </x:si>
  <x:si>
    <x:t>Name:optAlignWBSColumn</x:t>
  </x:si>
  <x:si>
    <x:t xml:space="preserve">     테스트실시 11/19-11/25 </x:t>
  </x:si>
  <x:si>
    <x:t xml:space="preserve">     0.00% 프로젝트 착수 및 계획수립 9/2-12/16 </x:t>
  </x:si>
  <x:si>
    <x:t xml:space="preserve">      0.00% 프로젝트 착수(이지은,김분석) 9/2-5/21 </x:t>
  </x:si>
  <x:si>
    <x:t xml:space="preserve">    0.00% 종료계획수립(김분석,이지은) 12/9-12/15 </x:t>
  </x:si>
  <x:si>
    <x: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x:t>
  </x:si>
  <x:si>
    <x:t>Provides you with analytical reports such as progress, workload, and workload data for tracking the status of your project.</x:t>
  </x:si>
  <x:si>
    <x:t>하드웨어 설계</x:t>
  </x:si>
  <x:si>
    <x:t>XLWorks</x:t>
  </x:si>
  <x:si>
    <x:t>VALUE2</x:t>
  </x:si>
  <x:si>
    <x:t>VALUE3</x:t>
  </x:si>
  <x:si>
    <x:t>COMPANY</x:t>
  </x:si>
  <x:si>
    <x:t>ITEM</x:t>
  </x:si>
  <x:si>
    <x:t>VALUE1</x:t>
  </x:si>
  <x:si>
    <x:t>Man/Day</x:t>
  </x:si>
  <x:si>
    <x:t>Man-Day</x:t>
  </x:si>
  <x:si>
    <x:t>XLGantt</x:t>
  </x:si>
  <x:si>
    <x:t>English</x:t>
  </x:si>
  <x:si>
    <x:t>Korean</x:t>
  </x:si>
  <x:si>
    <x:t>blabla</x:t>
  </x:si>
  <x:si>
    <x:t xml:space="preserve"> Mapped</x:t>
  </x:si>
  <x:si>
    <x:t>About</x:t>
  </x:si>
  <x:si>
    <x:t>Add &gt;&gt;</x:t>
  </x:si>
  <x:si>
    <x:t>Chart</x:t>
  </x:si>
  <x:si>
    <x:t>Cancel</x:t>
  </x:si>
  <x:si>
    <x:t>Excel</x:t>
  </x:si>
  <x:si>
    <x:t>Finish</x:t>
  </x:si>
  <x:si>
    <x:t>Close</x:t>
  </x:si>
  <x:si>
    <x:t>Filter</x:t>
  </x:si>
  <x:si>
    <x:t>VERSION</x:t>
  </x:si>
  <x:si>
    <x:t>LICENSE</x:t>
  </x:si>
  <x:si>
    <x:t>Task</x:t>
  </x:si>
  <x:si>
    <x:t>C:\Temp</x:t>
  </x:si>
  <x:si>
    <x:t>ppt*</x:t>
  </x:si>
  <x:si>
    <x:t>John</x:t>
  </x:si>
  <x:si>
    <x:t>finish</x:t>
  </x:si>
  <x:si>
    <x:t>Equals</x:t>
  </x:si>
  <x:si>
    <x:t>Manual</x:t>
  </x:si>
  <x:si>
    <x:t>doc*</x:t>
  </x:si>
  <x:si>
    <x:t>Map &gt;&gt;</x:t>
  </x:si>
  <x:si>
    <x:t>Monthly</x:t>
  </x:si>
  <x:si>
    <x:t>Plan</x:t>
  </x:si>
  <x:si>
    <x:t>Note</x:t>
  </x:si>
  <x:si>
    <x:t>Weeks</x:t>
  </x:si>
  <x:si>
    <x:t>xls*</x:t>
  </x:si>
  <x:si>
    <x:t>Daily</x:t>
  </x:si>
  <x:si>
    <x:t>General</x:t>
  </x:si>
  <x:si>
    <x:t>Updates</x:t>
  </x:si>
  <x:si>
    <x:t>Next &gt;&gt;</x:t>
  </x:si>
  <x:si>
    <x:t>Weight</x:t>
  </x:si>
  <x:si>
    <x:t>Today</x:t>
  </x:si>
  <x:si>
    <x:t>task</x:t>
  </x:si>
  <x:si>
    <x:t>start</x:t>
  </x:si>
  <x:si>
    <x:t>Import</x:t>
  </x:si>
  <x:si>
    <x:t>License</x:t>
  </x:si>
  <x:si>
    <x:t>Save</x:t>
  </x:si>
  <x:si>
    <x:t>WBS No.</x:t>
  </x:si>
  <x:si>
    <x:t>Word</x:t>
  </x:si>
  <x:si>
    <x:t>Start</x:t>
  </x:si>
  <x:si>
    <x:t>Months</x:t>
  </x:si>
  <x:si>
    <x:t>Options</x:t>
  </x:si>
  <x:si>
    <x:t>Weekly</x:t>
  </x:si>
  <x:si>
    <x:t>Actual</x:t>
  </x:si>
  <x:si>
    <x:t>일별보기</x:t>
  </x:si>
  <x:si>
    <x:t>자동지정</x:t>
  </x:si>
  <x:si>
    <x:t>날짜 표시</x:t>
  </x:si>
  <x:si>
    <x:t>담당 표시</x:t>
  </x:si>
  <x:si>
    <x:t>실제시작일</x:t>
  </x:si>
  <x:si>
    <x:t>실제\n총기간</x:t>
  </x:si>
  <x:si>
    <x:t>추가 &gt;&gt;</x:t>
  </x:si>
  <x:si>
    <x:t>작업 정보</x:t>
  </x:si>
  <x:si>
    <x:t>필터 적용</x:t>
  </x:si>
  <x:si>
    <x:t>실제__시작일</x:t>
  </x:si>
  <x:si>
    <x:t>작업명 표시</x:t>
  </x:si>
  <x:si>
    <x:t>총작업량</x:t>
  </x:si>
  <x:si>
    <x:t>확장자명</x:t>
  </x:si>
  <x:si>
    <x:t>작업 필터</x:t>
  </x:si>
  <x:si>
    <x:t>가져오기</x:t>
  </x:si>
  <x:si>
    <x:t>실제총기간</x:t>
  </x:si>
  <x:si>
    <x:t>실적(C/A)</x:t>
  </x:si>
  <x:si>
    <x:t>완료일자</x:t>
  </x:si>
  <x:si>
    <x:t>실제총작업량</x:t>
  </x:si>
  <x:si>
    <x:t>실제\n완료일</x:t>
  </x:si>
  <x:si>
    <x:t>계획기간</x:t>
  </x:si>
  <x:si>
    <x:t>기간 지정</x:t>
  </x:si>
  <x:si>
    <x:t>실제완료일</x:t>
  </x:si>
  <x:si>
    <x:t>실제시작일자</x:t>
  </x:si>
  <x:si>
    <x:t>실제완료일자</x:t>
  </x:si>
  <x:si>
    <x:t>실제__총기간</x:t>
  </x:si>
  <x:si>
    <x:t>계획작업량</x:t>
  </x:si>
  <x:si>
    <x:t>실적진척율</x:t>
  </x:si>
  <x:si>
    <x:t>&lt;&lt; 제거</x:t>
  </x:si>
  <x:si>
    <x:t>실제__완료일</x:t>
  </x:si>
  <x:si>
    <x:t>실제\n시작일</x:t>
  </x:si>
  <x:si>
    <x:t>언어 추가</x:t>
  </x:si>
  <x:si>
    <x:t>프로젝트명</x:t>
  </x:si>
  <x:si>
    <x:t>특정 경로</x:t>
  </x:si>
  <x:si>
    <x:t>차이(B-A)</x:t>
  </x:si>
  <x:si>
    <x:t>프로그램명</x:t>
  </x:si>
  <x:si>
    <x:t>시작일자</x:t>
  </x:si>
  <x:si>
    <x:t>계획__작업량</x:t>
  </x:si>
  <x:si>
    <x:t>프로그램 정보</x:t>
  </x:si>
  <x:si>
    <x:t>표준캘린더</x:t>
  </x:si>
  <x:si>
    <x:t>작업레벨 내림</x:t>
  </x:si>
  <x:si>
    <x:t>휴무일명</x:t>
  </x:si>
  <x:si>
    <x:t>가져오기 옵션</x:t>
  </x:si>
  <x:si>
    <x:t>휴무일자</x:t>
  </x:si>
  <x:si>
    <x:t>산출물 열기</x:t>
  </x:si>
  <x:si>
    <x:t>퍼센트 지정</x:t>
  </x:si>
  <x:si>
    <x:t>날짜 선택</x:t>
  </x:si>
  <x:si>
    <x:t>최신 버전</x:t>
  </x:si>
  <x:si>
    <x:t>라이선스</x:t>
  </x:si>
  <x:si>
    <x:t>다음 &gt;&gt;</x:t>
  </x:si>
  <x:si>
    <x:t>계획\n기간</x:t>
  </x:si>
  <x:si>
    <x:t>개요수준</x:t>
  </x:si>
  <x:si>
    <x:t>작업결과</x:t>
  </x:si>
  <x:si>
    <x:t>파일 가져오기</x:t>
  </x:si>
  <x:si>
    <x:t>계획\n작업량</x:t>
  </x:si>
  <x:si>
    <x:t>파워포인트</x:t>
  </x:si>
  <x:si>
    <x:t>프로젝트 정보</x:t>
  </x:si>
  <x:si>
    <x:t>릴리즈 일자</x:t>
  </x:si>
  <x:si>
    <x:t>특정날짜</x:t>
  </x:si>
  <x:si>
    <x:t>계획__기간</x:t>
  </x:si>
  <x:si>
    <x:t>작업레벨 올림</x:t>
  </x:si>
  <x:si>
    <x:t>월별보기</x:t>
  </x:si>
  <x:si>
    <x:t>계획(B/A)</x:t>
  </x:si>
  <x:si>
    <x:t>계획진척율</x:t>
  </x:si>
  <x:si>
    <x:t>1.4.1</x:t>
  </x:si>
  <x:si>
    <x:t>1.4.2</x:t>
  </x:si>
  <x:si>
    <x:t>진척율(월별)</x:t>
  </x:si>
  <x:si>
    <x:t>총__작업량</x:t>
  </x:si>
  <x:si>
    <x:t>주별보기</x:t>
  </x:si>
  <x:si>
    <x:t>표시 안함</x:t>
  </x:si>
  <x:si>
    <x:t>html</x:t>
  </x:si>
  <x:si>
    <x:t>서식\n재설정</x:t>
  </x:si>
  <x:si>
    <x:t>화면설계</x:t>
  </x:si>
  <x:si>
    <x:t>1.1.2</x:t>
  </x:si>
  <x:si>
    <x:t>1.4.3</x:t>
  </x:si>
  <x:si>
    <x:t>주차 표시방식</x:t>
  </x:si>
  <x:si>
    <x:t>1.1.1</x:t>
  </x:si>
  <x:si>
    <x:t>시작일-완료일</x:t>
  </x:si>
  <x:si>
    <x:t>총__기간</x:t>
  </x:si>
  <x:si>
    <x:t>업데이트 내용</x:t>
  </x:si>
  <x:si>
    <x:t>체계 2</x:t>
  </x:si>
  <x:si>
    <x:t>None</x:t>
  </x:si>
  <x:si>
    <x:t>1.2.1</x:t>
  </x:si>
  <x:si>
    <x:t>계산 옵션</x:t>
  </x:si>
  <x:si>
    <x:t>총\n작업량</x:t>
  </x:si>
  <x:si>
    <x:t>AutoCAD</x:t>
  </x:si>
  <x:si>
    <x:t>실적기성</x:t>
  </x:si>
  <x:si>
    <x:t>1.3.1</x:t>
  </x:si>
  <x:si>
    <x:t>1.1.3</x:t>
  </x:si>
  <x:si>
    <x:t>진척율(주별)</x:t>
  </x:si>
  <x:si>
    <x:t>1.1.4</x:t>
  </x:si>
  <x:si>
    <x:t>1.2.2</x:t>
  </x:si>
  <x:si>
    <x:t>총\n기간</x:t>
  </x:si>
  <x:si>
    <x:t>체계 1</x:t>
  </x:si>
  <x:si>
    <x:t>실제진척율</x:t>
  </x:si>
  <x:si>
    <x:t>1.3.2</x:t>
  </x:si>
  <x:si>
    <x:t>일정 지연</x:t>
  </x:si>
  <x:si>
    <x:t>단위테스트</x:t>
  </x:si>
  <x:si>
    <x:t>김분석,이지은</x:t>
  </x:si>
  <x:si>
    <x:t>시스템테스트</x:t>
  </x:si>
  <x:si>
    <x:t>TODAY</x:t>
  </x:si>
  <x:si>
    <x:t>Help</x:t>
  </x:si>
  <x:si>
    <x:t>작업량 계산</x:t>
  </x:si>
  <x:si>
    <x:t>나고객,이고객</x:t>
  </x:si>
  <x:si>
    <x:t>Left</x:t>
  </x:si>
  <x:si>
    <x:t>이지은,김분석</x:t>
  </x:si>
  <x:si>
    <x:t>일정 준수</x:t>
  </x:si>
  <x:si>
    <x:t>계획대비 빠름</x:t>
  </x:si>
  <x:si>
    <x:t>Center</x:t>
  </x:si>
  <x:si>
    <x:t>가중치로 계산</x:t>
  </x:si>
  <x:si>
    <x:t>UI설계</x:t>
  </x:si>
  <x:si>
    <x:t>자원배정비율</x:t>
  </x:si>
  <x:si>
    <x:t>Default</x:t>
  </x:si>
  <x:si>
    <x:t>Purple</x:t>
  </x:si>
  <x:si>
    <x:t>간단 사용법</x:t>
  </x:si>
  <x:si>
    <x:t>분석 리포트</x:t>
  </x:si>
  <x:si>
    <x:t>범위정의</x:t>
  </x:si>
  <x:si>
    <x:t>Sheets</x:t>
  </x:si>
  <x:si>
    <x:t>시트 구성</x:t>
  </x:si>
  <x:si>
    <x:t>범위확정</x:t>
  </x:si>
  <x:si>
    <x:t>통합테스트</x:t>
  </x:si>
  <x:si>
    <x:t>사용자 정의</x:t>
  </x:si>
  <x:si>
    <x:t>컬러 테마</x:t>
  </x:si>
  <x:si>
    <x:t>Green</x:t>
  </x:si>
  <x:si>
    <x:t>__확인사항</x:t>
  </x:si>
  <x:si>
    <x:t>DEFINED</x:t>
  </x:si>
  <x:si>
    <x:t>다국어 지원</x:t>
  </x:si>
  <x:si>
    <x:t>Custom</x:t>
  </x:si>
  <x:si>
    <x:t>월간보고2</x:t>
  </x:si>
  <x:si>
    <x:t>1.2.3</x:t>
  </x:si>
  <x:si>
    <x:t>1.3.3</x:t>
  </x:si>
  <x:si>
    <x:t>계획
작업량</x:t>
  </x:si>
  <x:si>
    <x:t>종료계획수립</x:t>
  </x:si>
  <x:si>
    <x:t>종료보고</x:t>
  </x:si>
  <x:si>
    <x:t>총
기간</x:t>
  </x:si>
  <x:si>
    <x:t>1.3.4</x:t>
  </x:si>
  <x:si>
    <x:t>검수 및 종료</x:t>
  </x:si>
  <x:si>
    <x:t>실제
총기간</x:t>
  </x:si>
  <x:si>
    <x:t>WBS열 정렬</x:t>
  </x:si>
  <x:si>
    <x:t>실제
완료일</x:t>
  </x:si>
  <x:si>
    <x:t>1.1.2.2</x:t>
  </x:si>
  <x:si>
    <x:t>총
작업량</x:t>
  </x:si>
  <x:si>
    <x:t>월간보고3</x:t>
  </x:si>
  <x:si>
    <x:t>중간보고</x:t>
  </x:si>
  <x:si>
    <x:t>계획
기간</x:t>
  </x:si>
  <x:si>
    <x:t>1.2.4</x:t>
  </x:si>
  <x:si>
    <x:t>__확인사항2</x:t>
  </x:si>
  <x:si>
    <x:t>Date</x:t>
  </x:si>
  <x:si>
    <x:t>월간보고1</x:t>
  </x:si>
  <x:si>
    <x:t>프로젝트 관리</x:t>
  </x:si>
  <x:si>
    <x:t>프로젝트 종료</x:t>
  </x:si>
  <x:si>
    <x:t>완료일*</x:t>
  </x:si>
  <x:si>
    <x:t>실제
시작일</x:t>
  </x:si>
  <x:si>
    <x:t>Right</x:t>
  </x:si>
  <x:si>
    <x:t>시작일*</x:t>
  </x:si>
  <x:si>
    <x:t>프로젝트 착수</x:t>
  </x:si>
  <x:si>
    <x:t>1.1.2.1</x:t>
  </x:si>
  <x:si>
    <x:t>2.2.2.2</x:t>
  </x:si>
  <x:si>
    <x:t>프로그램 개발</x:t>
  </x:si>
  <x:si>
    <x:t>프로그램A</x:t>
  </x:si>
  <x:si>
    <x:t>요구사항정의</x:t>
  </x:si>
  <x:si>
    <x:t>프로그램설계</x:t>
  </x:si>
  <x:si>
    <x:t>통합테스트실시</x:t>
  </x:si>
  <x:si>
    <x:t>2.2.1</x:t>
  </x:si>
  <x:si>
    <x:t>2.3.2.2</x:t>
  </x:si>
  <x:si>
    <x:t>2.1.2.2</x:t>
  </x:si>
  <x:si>
    <x:t>2.4.1</x:t>
  </x:si>
  <x:si>
    <x:t>테스트실시</x:t>
  </x:si>
  <x:si>
    <x:t>2.2.2</x:t>
  </x:si>
  <x:si>
    <x:t>UI 설계</x:t>
  </x:si>
  <x:si>
    <x:t>2.1.1</x:t>
  </x:si>
  <x:si>
    <x:t>2.2.2.1</x:t>
  </x:si>
  <x:si>
    <x:t>데이터모델링</x:t>
  </x:si>
  <x:si>
    <x:t>2.3.1</x:t>
  </x:si>
  <x:si>
    <x:t>2.3.1.1</x:t>
  </x:si>
  <x:si>
    <x:t>테스트 설계</x:t>
  </x:si>
  <x:si>
    <x:t>프로그램C</x:t>
  </x:si>
  <x:si>
    <x:t>논리모델구축</x:t>
  </x:si>
  <x:si>
    <x:t>2.2.2.3</x:t>
  </x:si>
  <x:si>
    <x:t>시스템 설계</x:t>
  </x:si>
  <x:si>
    <x:t>2.2.3</x:t>
  </x:si>
  <x:si>
    <x:t>2.3.2</x:t>
  </x:si>
  <x:si>
    <x:t>2.3.2.1</x:t>
  </x:si>
  <x:si>
    <x:t>2.3.1.2</x:t>
  </x:si>
  <x:si>
    <x:t>시스템 개발</x:t>
  </x:si>
  <x:si>
    <x:t>2.1.2</x:t>
  </x:si>
  <x:si>
    <x:t>2.1.2.1</x:t>
  </x:si>
  <x:si>
    <x:t>프로세스모델링</x:t>
  </x:si>
  <x:si>
    <x:t>프로그램B</x:t>
  </x:si>
  <x:si>
    <x:t>2.4.2</x:t>
  </x:si>
  <x:si>
    <x:t>2.4.1.1</x:t>
  </x:si>
  <x:si>
    <x:t>4.7.0</x:t>
  </x:si>
  <x:si>
    <x:t>소프트웨어설치</x:t>
  </x:si>
  <x:si>
    <x:t>2.4.2.3</x:t>
  </x:si>
  <x:si>
    <x:t>2.4.2.4</x:t>
  </x:si>
  <x:si>
    <x:t>시스템오픈</x:t>
  </x:si>
  <x:si>
    <x:t>김분석 요약</x:t>
  </x:si>
  <x:si>
    <x:t>2.4.2.1</x:t>
  </x:si>
  <x:si>
    <x:t>나고객 요약</x:t>
  </x:si>
  <x:si>
    <x:t>박설계 요약</x:t>
  </x:si>
  <x:si>
    <x:t>박피엠 요약</x:t>
  </x:si>
  <x:si>
    <x:t>이고객 요약</x:t>
  </x:si>
  <x:si>
    <x:t>이지은 요약</x:t>
  </x:si>
  <x:si>
    <x:t>인수테스트실시</x:t>
  </x:si>
  <x:si>
    <x:t>홍길동 요약</x:t>
  </x:si>
  <x:si>
    <x:t>2.4.2.2</x:t>
  </x:si>
  <x:si>
    <x:t>하드웨어모델링</x:t>
  </x:si>
  <x:si>
    <x:t xml:space="preserve">0.00% </x:t>
  </x:si>
  <x:si>
    <x:t>2.3.1.2.1</x:t>
  </x:si>
  <x:si>
    <x:t>2.3.1.2.1.3</x:t>
  </x:si>
  <x:si>
    <x:t>데이터베이스설계</x:t>
  </x:si>
  <x:si>
    <x:t>2.3.1.2.1.2</x:t>
  </x:si>
  <x:si>
    <x:t>단위테스트시나리오작성</x:t>
  </x:si>
  <x:si>
    <x:t>2.3.1.2.1.1</x:t>
  </x:si>
  <x:si>
    <x:t>데이터베이스구축</x:t>
  </x:si>
  <x:si>
    <x:t>2.3.1.2.3</x:t>
  </x:si>
  <x:si>
    <x:t>2.3.1.2.2</x:t>
  </x:si>
  <x:si>
    <x:t>2.3.1.2.4</x:t>
  </x:si>
  <x:si>
    <x:t>시스템테스트실시</x:t>
  </x:si>
  <x:si>
    <x:t>06/13
W25</x:t>
  </x:si>
  <x:si>
    <x:t>05/16
W21</x:t>
  </x:si>
  <x:si>
    <x:t>07/11
W29</x:t>
  </x:si>
  <x:si>
    <x:t>08/08
W33</x:t>
  </x:si>
  <x:si>
    <x:t>09/05
W37</x:t>
  </x:si>
  <x:si>
    <x:t>10/03
W41</x:t>
  </x:si>
  <x:si>
    <x:t>(담당자미지정) 요약</x:t>
  </x:si>
  <x:si>
    <x:t>담당별
진행율</x:t>
  </x:si>
  <x:si>
    <x:t>{2} sheet의 {1}행의 실적진척율이 숫자가 아닙니다.</x:t>
  </x:si>
  <x:si>
    <x:t>실제완료일 열이 삭제되었습니다. 원래대로 복구한 후 작업하세요.</x:t>
  </x:si>
  <x:si>
    <x:t>실제시작일 열이 삭제되었습니다. 원래대로 복구한 후 작업하세요.</x:t>
  </x:si>
  <x:si>
    <x:t>Gantt Chart Zoom Ratio(Max 999%)</x:t>
  </x:si>
  <x:si>
    <x:t>실제총기간 열이 삭제되었습니다. 원래대로 복구한 후 작업하세요.</x:t>
  </x:si>
  <x:si>
    <x:t xml:space="preserve">Days counted as Nonworking days </x:t>
  </x:si>
  <x:si>
    <x:t>산출물 열이 삭제되었습니다. 원래대로 복구한 후 작업하세요.</x:t>
  </x:si>
  <x:si>
    <x:t>* "스케줄업데이트" 버튼 클릭 시 아래 항목이 자동계산됩니다.</x:t>
  </x:si>
  <x:si>
    <x:t>Not Specified(Standard Calendar)</x:t>
  </x:si>
  <x:si>
    <x:t>Name:isConfirmedProjectBasicInfo</x:t>
  </x:si>
  <x:si>
    <x:t>You didn't choose a source field.</x:t>
  </x:si>
  <x:si>
    <x:t>처리 중 에러가 발생했습니다. 아래의 메시지를 확인하십시오.</x:t>
  </x:si>
  <x:si>
    <x:t>Name:groupTaskInteriorGrayDisplay</x:t>
  </x:si>
  <x:si>
    <x:t>Name:chkCheckForUpdatesOnStartup</x:t>
  </x:si>
  <x:si>
    <x:t>Weight must be greater than zero.</x:t>
  </x:si>
  <x:si>
    <x:t>Actual Total\nWork(Total\nManDay)</x:t>
  </x:si>
  <x:si>
    <x:t>Automatic Except for Data Tables</x:t>
  </x:si>
  <x:si>
    <x:t xml:space="preserve">토요일,일요일 및 Calendar sheet에 입력된 날짜
</x:t>
  </x:si>
  <x:si>
    <x:t>Deliverables type is not selected</x:t>
  </x:si>
  <x:si>
    <x:t>Choose a language used in XLGantt.</x:t>
  </x:si>
  <x:si>
    <x:t>Task(Task name or Name) is missing.</x:t>
  </x:si>
  <x:si>
    <x:t>Choose a language used in XLGantt</x:t>
  </x:si>
  <x:si>
    <x:t>일정변경 관리함(시작일/완료일, 실제시작일/실제완료일 사용)</x:t>
  </x:si>
  <x:si>
    <x:t>You didn't choose a target field.</x:t>
  </x:si>
  <x:si>
    <x:t>Select source files(Muliple Select)</x:t>
  </x:si>
  <x:si>
    <x:t>You didn't choose an unmap item.</x:t>
  </x:si>
  <x:si>
    <x:t>일정변경 관리할 때 현재까지 실제로 투입된 작업기간을 표시함</x:t>
  </x:si>
  <x:si>
    <x:t>Schedule update has been completed.</x:t>
  </x:si>
  <x:si>
    <x:t>토요일,일요일은 Calendar sheet에 입력할 필요 없음</x:t>
  </x:si>
  <x:si>
    <x:t>각 작업의 시작일을 표시합니다. 반드시 날짜 형식이어야 합니다.</x:t>
  </x:si>
  <x:si>
    <x:t>실적진척율 열이 삭제되었습니다. 원래대로 복구한 후 작업하세요.</x:t>
  </x:si>
  <x:si>
    <x:t>선택할 수 없는 영역입니다. 작업명이 입력된 행을 선택하세요.</x:t>
  </x:si>
  <x:si>
    <x:t>{2} sheet의 {1}행의 자원배정비율이 잘못입력되었습니다.</x:t>
  </x:si>
  <x:si>
    <x:t>{2} sheet의 {1}행의 시작일이 완료일보다 큽니다.</x:t>
  </x:si>
  <x:si>
    <x:t>완료일 열이 삭제되었습니다. 원래대로 복구한 후 작업하세요.</x:t>
  </x:si>
  <x:si>
    <x:t>Number of "Task" columns(Max 20)</x:t>
  </x:si>
  <x:si>
    <x:t>Keeping track of project progress</x:t>
  </x:si>
  <x:si>
    <x:t>가중치 열이 삭제되었습니다. 원래대로 복구한 후 작업하세요.</x:t>
  </x:si>
  <x:si>
    <x:t>입력한 프로젝트 기간의 시작일({})이 날짜형식이 아닙니다</x:t>
  </x:si>
  <x:si>
    <x:t>담당 열이 삭제되었습니다. 원래대로 복구한 후 작업하세요.</x:t>
  </x:si>
  <x:si>
    <x:t>Earned Value Accumulated(Man-Day)</x:t>
  </x:si>
  <x:si>
    <x:t>진척율을 이용하여 프로젝트 전체 진행상황을 파악할 수 있다.</x:t>
  </x:si>
  <x:si>
    <x:t>기본언어인 English와 Korean은 삭제할 수 없습니다.</x:t>
  </x:si>
  <x:si>
    <x:t>입력한 프로젝트 기간의 완료일({})이 날짜형식이 아닙니다.</x:t>
  </x:si>
  <x:si>
    <x:t>작업 열이 삭제되었습니다. 원래대로 복구한 후 작업하세요.</x:t>
  </x:si>
  <x:si>
    <x:t>Setting Gantt chart display style</x:t>
  </x:si>
  <x:si>
    <x:t>시작일 열이 삭제되었습니다. 원래대로 복구한 후 작업하세요.</x:t>
  </x:si>
  <x:si>
    <x:t>총작업량 열이 삭제되었습니다. 원래대로 복구한 후 작업하세요.</x:t>
  </x:si>
  <x:si>
    <x:t>선택한 위치에서는 Outlook작업을 등록할 수 없습니다.</x:t>
  </x:si>
  <x:si>
    <x:t>총기간 열이 삭제되었습니다. 원래대로 복구한 후 작업하세요.</x:t>
  </x:si>
  <x:si>
    <x:t>{} Sheet에서만 Outlook일정을 등록할 수 있습니다.</x:t>
  </x:si>
  <x:si>
    <x:t>계획진척율 열이 삭제되었습니다. 원래대로 복구한 후 작업하세요.</x:t>
  </x:si>
  <x:si>
    <x:t>Recalculate WBS area after import</x:t>
  </x:si>
  <x:si>
    <x:t>프로그램 시작 시 "ServerData" 시트의 데이터 가져오기</x:t>
  </x:si>
  <x:si>
    <x:t>Import has already been completed.</x:t>
  </x:si>
  <x:si>
    <x:t>기능을 간단히 빨리 익히고 싶으면 “간단 사용법”을 참고한다</x:t>
  </x:si>
  <x:si>
    <x:t>WBS 열이 삭제되었습니다. 원래대로 복구한 후 작업하세요.</x:t>
  </x:si>
  <x:si>
    <x:t>Earned value on planned schedule</x:t>
  </x:si>
  <x:si>
    <x:t>WBS title - auto calculated field</x:t>
  </x:si>
  <x:si>
    <x:t>비고 열이 삭제되었습니다. 원래대로 복구한 후 작업하세요.</x:t>
  </x:si>
  <x:si>
    <x:t>계획기간 열이 삭제되었습니다. 원래대로 복구한 후 작업하세요.</x:t>
  </x:si>
  <x:si>
    <x:t>계획작업량 열이 삭제되었습니다. 원래대로 복구한 후 작업하세요.</x:t>
  </x:si>
  <x:si>
    <x:t>{} Sheet에서만 Outlook작업을 등록할 수 있습니다.</x:t>
  </x:si>
  <x:si>
    <x:t xml:space="preserve"> 0.00% 종료보고(나고객,이고객) 12/16-12/16 </x:t>
  </x:si>
  <x:si>
    <x:t>Displayed in %Work complete column</x:t>
  </x:si>
  <x:si>
    <x:t>When not managing schedule changes</x:t>
  </x:si>
  <x:si>
    <x:t>timebucketFinish</x:t>
  </x:si>
  <x:si>
    <x:t>실적기성( C )\nMan-day</x:t>
  </x:si>
  <x:si>
    <x:t>Workload Data생성(주별)</x:t>
  </x:si>
  <x:si>
    <x:t>가중치는 0보다 커야 합니다.</x:t>
  </x:si>
  <x:si>
    <x:t>Import from Server</x:t>
  </x:si>
  <x:si>
    <x:t>실제작업량 누적(Man-Day)</x:t>
  </x:si>
  <x:si>
    <x:t>Workload Data생성(월별)</x:t>
  </x:si>
  <x:si>
    <x:t>실적기성(총기간 x 총실적진행율)</x:t>
  </x:si>
  <x:si>
    <x:t>작업량, 진척율 등을 볼 수 있다.</x:t>
  </x:si>
  <x:si>
    <x:t>실적기성 누적(Man-Day)</x:t>
  </x:si>
  <x:si>
    <x:t>Target파일(가져온 후 파일)</x:t>
  </x:si>
  <x:si>
    <x:t>Invalid field name!</x:t>
  </x:si>
  <x:si>
    <x:t>가져오기 후 WBS영역 재계산 안함</x:t>
  </x:si>
  <x:si>
    <x:t>Gantt Chart 보기 형식</x:t>
  </x:si>
  <x:si>
    <x:t>프로그램 실행경로를 입력하세요.</x:t>
  </x:si>
  <x:si>
    <x:t>가중치의 숫자형식이 잘못되었습니다.</x:t>
  </x:si>
  <x:si>
    <x:t>"작업"열의 개수(최대 20개)</x:t>
  </x:si>
  <x:si>
    <x:t>xlgantt_reserved</x:t>
  </x:si>
  <x:si>
    <x:t>가져오기가 이미 완료되었습니다.</x:t>
  </x:si>
  <x:si>
    <x:t>계획작업량 누적(Man-Day)</x:t>
  </x:si>
  <x:si>
    <x:t>다음 파일에 자료가 없습니다.</x:t>
  </x:si>
  <x:si>
    <x:t>계획작업량(B)\nMan-day</x:t>
  </x:si>
  <x:si>
    <x:t>project_information</x:t>
  </x:si>
  <x:si>
    <x:t>No data to import.</x:t>
  </x:si>
  <x:si>
    <x:t>작업필드의 유형을 선택하세요.</x:t>
  </x:si>
  <x:si>
    <x:t>가져오기 후 WBS영역 재계산</x:t>
  </x:si>
  <x:si>
    <x:t>Progress by Months</x:t>
  </x:si>
  <x:si>
    <x:t>다음의 폴더가 존재하지 않습니다.</x:t>
  </x:si>
  <x:si>
    <x:t>끝날짜 형식이 잘못되었습니다.</x:t>
  </x:si>
  <x:si>
    <x:t>총작업량(A)\nMan-day</x:t>
  </x:si>
  <x:si>
    <x:t>Progress by Weeks</x:t>
  </x:si>
  <x:si>
    <x:t>산출물열기 프로그램 실행경로 지정</x:t>
  </x:si>
  <x:si>
    <x:t>Started as planned</x:t>
  </x:si>
  <x:si>
    <x:t>projectWeekNumber</x:t>
  </x:si>
  <x:si>
    <x:t>프로젝트의 휴무일을 설정한다.</x:t>
  </x:si>
  <x:si>
    <x:t>Gantt chart title</x:t>
  </x:si>
  <x:si>
    <x:t>WBS 타이틀 - 자동계산필드</x:t>
  </x:si>
  <x:si>
    <x:t>Schedule variance</x:t>
  </x:si>
  <x:si>
    <x:t>Name:themeColorList</x:t>
  </x:si>
  <x:si>
    <x:t>간트차트 눈금에 날짜/요일 표시방법</x:t>
  </x:si>
  <x:si>
    <x:t>프로젝트 전체 진행상황 파악하기</x:t>
  </x:si>
  <x:si>
    <x:t>Align WBS Column</x:t>
  </x:si>
  <x:si>
    <x:t>https://xlworks.net</x:t>
  </x:si>
  <x:si>
    <x:t>간트차트 눈금에 프로젝트 주차 표시</x:t>
  </x:si>
  <x:si>
    <x:t>resourceAssignRate</x:t>
  </x:si>
  <x:si>
    <x:t>Ahead of schedule</x:t>
  </x:si>
  <x:si>
    <x:t>Server Data 가져오기</x:t>
  </x:si>
  <x:si>
    <x:t>Name:cbxColorTheme</x:t>
  </x:si>
  <x:si>
    <x:t>Name:txtFileExt3</x:t>
  </x:si>
  <x:si>
    <x:t>Name:txtPgmPath3</x:t>
  </x:si>
  <x:si>
    <x:t>Name:txtPgmName3</x:t>
  </x:si>
  <x:si>
    <x:t>Name:txtFileExt1</x:t>
  </x:si>
  <x:si>
    <x:t>Name:txtPgmName4</x:t>
  </x:si>
  <x:si>
    <x:t>Name:savePathType</x:t>
  </x:si>
  <x:si>
    <x:t>Name:txtFileExt4</x:t>
  </x:si>
  <x:si>
    <x:t>Name:txtPgmPath5</x:t>
  </x:si>
  <x:si>
    <x:t>PROGRAM_SITE_DISP</x:t>
  </x:si>
  <x:si>
    <x:t>Name:txtPgmPath4</x:t>
  </x:si>
  <x:si>
    <x:t>Name:txtPgmPath2</x:t>
  </x:si>
  <x:si>
    <x:t>Name:txtPgmName5</x:t>
  </x:si>
  <x:si>
    <x:t>Name:txtFileExt5</x:t>
  </x:si>
  <x:si>
    <x:t>Name:projectName</x:t>
  </x:si>
  <x:si>
    <x:t>Name:projectEndDate</x:t>
  </x:si>
  <x:si>
    <x:t>Name:txtDefinedPath</x:t>
  </x:si>
  <x:si>
    <x:t>Name:txtPgmPath1</x:t>
  </x:si>
  <x:si>
    <x:t>Name:txtPgmName2</x:t>
  </x:si>
  <x:si>
    <x:t>Name:txtPgmName1</x:t>
  </x:si>
  <x:si>
    <x:t>Name:txtFileExt2</x:t>
  </x:si>
  <x:si>
    <x:t>Deliverables field.</x:t>
  </x:si>
  <x:si>
    <x:t>Planned workload</x:t>
  </x:si>
  <x:si>
    <x:t>Project Information</x:t>
  </x:si>
  <x:si>
    <x:t>Standard Calendar</x:t>
  </x:si>
  <x:si>
    <x:t>Planned\nDuration</x:t>
  </x:si>
  <x:si>
    <x:t>The count of level</x:t>
  </x:si>
  <x:si>
    <x:t>Open Deliverables</x:t>
  </x:si>
  <x:si>
    <x:t>Weight is invalid.</x:t>
  </x:si>
  <x:si>
    <x:t>Check for Updates</x:t>
  </x:si>
  <x:si>
    <x:t>Name:txtPgmName8</x:t>
  </x:si>
  <x:si>
    <x:t>Available Languages</x:t>
  </x:si>
  <x:si>
    <x:t>Workload\n(Man-Day)</x:t>
  </x:si>
  <x:si>
    <x:t>Name:txtFileExt6</x:t>
  </x:si>
  <x:si>
    <x:t>%Work Complete(B)</x:t>
  </x:si>
  <x:si>
    <x:t>Name:txtPgmName7</x:t>
  </x:si>
  <x:si>
    <x:t>admin@xlworks.net</x:t>
  </x:si>
  <x:si>
    <x:t>OPTIONS_WBS_GANTT</x:t>
  </x:si>
  <x:si>
    <x:t>Name:taskDispInSub</x:t>
  </x:si>
  <x:si>
    <x:t>%Work Complete(C/A)</x:t>
  </x:si>
  <x:si>
    <x:t>Name:txtFileExt7</x:t>
  </x:si>
  <x:si>
    <x:t>Name:txtFileExt8</x:t>
  </x:si>
  <x:si>
    <x:t>* Choose a language</x:t>
  </x:si>
  <x:si>
    <x:t>Actual Finish Date</x:t>
  </x:si>
  <x:si>
    <x:t>Name:txtPgmPath6</x:t>
  </x:si>
  <x:si>
    <x:t>Actual\nTotal Work</x:t>
  </x:si>
  <x:si>
    <x:t>Choose a language.</x:t>
  </x:si>
  <x:si>
    <x:t>Actual Start Date</x:t>
  </x:si>
  <x:si>
    <x:t>Name:txtPgmPath7</x:t>
  </x:si>
  <x:si>
    <x:t>Name:txtPgmName6</x:t>
  </x:si>
  <x:si>
    <x:t>Name:txtPgmPath8</x:t>
  </x:si>
  <x:si>
    <x:t>Enabled Languages</x:t>
  </x:si>
  <x:si>
    <x:t>Planned Progress</x:t>
  </x:si>
  <x:si>
    <x:t>{} 파일이 존재하지 않습니다</x:t>
  </x:si>
  <x:si>
    <x:t>실제 총작업량\nMan-day</x:t>
  </x:si>
  <x:si>
    <x:t>Planned__Duration</x:t>
  </x:si>
  <x:si>
    <x:t>Workloads by Weeks</x:t>
  </x:si>
  <x:si>
    <x:t>Name:actualRateDisp</x:t>
  </x:si>
  <x:si>
    <x:t>Actual Total Work</x:t>
  </x:si>
  <x:si>
    <x:t>필터를 해제하고 작업을 진행합니다.</x:t>
  </x:si>
  <x:si>
    <x:t>프로그램 시작 시 최신버전 확인</x:t>
  </x:si>
  <x:si>
    <x:t>Name:ganttColWidth</x:t>
  </x:si>
  <x:si>
    <x:t>By %Work Complete</x:t>
  </x:si>
  <x:si>
    <x:t>산출물 관리를 할 경우에 체크하세요</x:t>
  </x:si>
  <x:si>
    <x:t>Workloads by Months</x:t>
  </x:si>
  <x:si>
    <x:t>Name:resourceDisp</x:t>
  </x:si>
  <x:si>
    <x:t xml:space="preserve">Display task name </x:t>
  </x:si>
  <x:si>
    <x:t>Drawing Gantt chart</x:t>
  </x:si>
  <x:si>
    <x:t>for import columun</x:t>
  </x:si>
  <x:si>
    <x:t>TranslatedLanguages</x:t>
  </x:si>
  <x:si>
    <x:t>for importOnStartup</x:t>
  </x:si>
  <x:si>
    <x:t>OPTIONS_LANGUAGE</x:t>
  </x:si>
  <x:si>
    <x:t>First day of week</x:t>
  </x:si>
  <x:si>
    <x:t>Inside of the chart</x:t>
  </x:si>
  <x:si>
    <x:t>Left of the chart</x:t>
  </x:si>
  <x:si>
    <x:t>Right of the chart</x:t>
  </x:si>
  <x:si>
    <x:t>To Date is invalid.</x:t>
  </x:si>
  <x:si>
    <x:t>Display resource</x:t>
  </x:si>
  <x:si>
    <x:t>Completed(=100%)</x:t>
  </x:si>
  <x:si>
    <x:t>Gantt Chart Display</x:t>
  </x:si>
  <x:si>
    <x:t>WBS Area Display</x:t>
  </x:si>
  <x:si>
    <x:t>Actual__Total Work</x:t>
  </x:si>
  <x:si>
    <x:t>Project Scheduler</x:t>
  </x:si>
  <x:si>
    <x:t>Calculation Options</x:t>
  </x:si>
  <x:si>
    <x:t>Planned Duration</x:t>
  </x:si>
  <x:si>
    <x:t>Gantt chart표시 방법</x:t>
  </x:si>
  <x:si>
    <x:t>완료된 작업의 폰트색상 회색표시</x:t>
  </x:si>
  <x:si>
    <x:t>Gantt chart 그리기 작업</x:t>
  </x:si>
  <x:si>
    <x:t>XLGantt에서 사용할 언어 선택</x:t>
  </x:si>
  <x:si>
    <x:t>컴퓨터 O/S와 관계없이 직접 선택</x:t>
  </x:si>
  <x:si>
    <x:t>산출물 종류가 선택되지 않았습니다</x:t>
  </x:si>
  <x:si>
    <x:t>컴퓨터 O/S의 언어설정을 따름</x:t>
  </x:si>
  <x:si>
    <x:t>Source파일(가져올 파일 )</x:t>
  </x:si>
  <x:si>
    <x:t>시작날짜 형식이 잘못되었습니다.</x:t>
  </x:si>
  <x:si>
    <x:t>Earned value on planned schedule when managing schedule changes(Total Duration x %Work Complete)</x:t>
  </x:si>
  <x:si>
    <x:t>The "Note" column has been deleted. Please retry after changing the sheet to its previous state.</x:t>
  </x:si>
  <x:si>
    <x:t>If the language in source file and the language in target file are different, you can not import.</x:t>
  </x:si>
  <x:si>
    <x:t>Calculation Base Date of Planned %Work Complete must be less than or equal to project finish date.</x:t>
  </x:si>
  <x:si>
    <x:t>If you choose "Assigning path by task name automatically" option, you need to set the upper path.</x:t>
  </x:si>
  <x:si>
    <x:t>The "Weight" column has been deleted. Please retry after changing the sheet to its previous state.</x:t>
  </x:si>
  <x:si>
    <x:t>The "Task" column has been deleted. Please retry after changing the sheet to its previous state.</x:t>
  </x:si>
  <x:si>
    <x:t>The actual start or finish date of row number {1} in the {2} sheet is out of the project duration.</x:t>
  </x:si>
  <x:si>
    <x:t>The resource allocation ratio in the resource field of row number {1} in the {2} sheet is invalid.</x:t>
  </x:si>
  <x:si>
    <x:t>The number of task columns is not 10. Please retry after changing the sheet to its previous state.</x:t>
  </x:si>
  <x:si>
    <x:t>데이터 표만 수동</x:t>
  </x:si>
  <x:si>
    <x:t>작업을 그룹으로 묶기</x:t>
  </x:si>
  <x:si>
    <x:t>System 2</x:t>
  </x:si>
  <x:si>
    <x:t>System 1</x:t>
  </x:si>
  <x:si>
    <x:t>Notepad++</x:t>
  </x:si>
  <x:si>
    <x:t>실제 Man-Day</x:t>
  </x:si>
  <x:si>
    <x:t>스케줄\n업데이트</x:t>
  </x:si>
  <x:si>
    <x:t>planRate</x:t>
  </x:si>
  <x:si>
    <x:t>담당별\n진행율</x:t>
  </x:si>
  <x:si>
    <x:t>서버에서\n가져오기</x:t>
  </x:si>
  <x:si>
    <x:t>actualRate</x:t>
  </x:si>
  <x:si>
    <x:t>ServerData</x:t>
  </x:si>
  <x:si>
    <x:t>최신버전\n확인</x:t>
  </x:si>
  <x:si>
    <x:t>실적 진척율(B)</x:t>
  </x:si>
  <x:si>
    <x:t>Total Work</x:t>
  </x:si>
  <x:si>
    <x:t>누적\nMan-Day</x:t>
  </x:si>
  <x:si>
    <x:t>* 언어를 선택하세요</x:t>
  </x:si>
  <x:si>
    <x:t>추가 가능한 언어</x:t>
  </x:si>
  <x:si>
    <x:t>실제__총작업량</x:t>
  </x:si>
  <x:si>
    <x:t>실제\n총작업량</x:t>
  </x:si>
  <x:si>
    <x:t>계획진척율 표시</x:t>
  </x:si>
  <x:si>
    <x:t>실적진척율 표시</x:t>
  </x:si>
  <x:si>
    <x:t>언어를 선택하세요</x:t>
  </x:si>
  <x:si>
    <x:t>현재 사용중인 버전</x:t>
  </x:si>
  <x:si>
    <x:t>산출물 필드입니다.</x:t>
  </x:si>
  <x:si>
    <x:t>휴무일로 계산되는 날</x:t>
  </x:si>
  <x:si>
    <x:t>진척율선 그리기</x:t>
  </x:si>
  <x:si>
    <x:t>프로그램 실행경로</x:t>
  </x:si>
  <x:si>
    <x:t>한주의 시작요일</x:t>
  </x:si>
  <x:si>
    <x:t>사용할 수 있는 언어</x:t>
  </x:si>
  <x:si>
    <x:t>Chart 왼쪽</x:t>
  </x:si>
  <x:si>
    <x:t>일반 Excel 파일</x:t>
  </x:si>
  <x:si>
    <x:t>Chart 내부</x:t>
  </x:si>
  <x:si>
    <x:t>계획 진척율(A)</x:t>
  </x:si>
  <x:si>
    <x:t>산출물 폴더 열기</x:t>
  </x:si>
  <x:si>
    <x:t>토요일,일요일만</x:t>
  </x:si>
  <x:si>
    <x:t>yyyy년 m월</x:t>
  </x:si>
  <x:si>
    <x:t>Chart 오른쪽</x:t>
  </x:si>
  <x:si>
    <x:t>프로젝트수행계획서</x:t>
  </x:si>
  <x:si>
    <x:t>프로그램 사이트</x:t>
  </x:si>
  <x:si>
    <x:t>산출물 저장경로</x:t>
  </x:si>
  <x:si>
    <x:t>Level의 갯수</x:t>
  </x:si>
  <x:si>
    <x:t>이번 주 작업만 조회</x:t>
  </x:si>
  <x:si>
    <x:t>이번 달 작업만 조회</x:t>
  </x:si>
  <x:si>
    <x:t>Task필드 유형</x:t>
  </x:si>
  <x:si>
    <x:t>사용자정의 캘린더1</x:t>
  </x:si>
  <x:si>
    <x:t>프로젝트 전체 작업량</x:t>
  </x:si>
  <x:si>
    <x:t>WBS영역 표시방법</x:t>
  </x:si>
  <x:si>
    <x:t>오늘 작업만 조회</x:t>
  </x:si>
  <x:si>
    <x:t>차이(실적-계획)</x:t>
  </x:si>
  <x:si>
    <x:t>사용자정의 캘린더2</x:t>
  </x:si>
  <x:si>
    <x:t>더 이상 입력불가</x:t>
  </x:si>
  <x:si>
    <x:t>RELEASE_DATE</x:t>
  </x:si>
  <x:si>
    <x:t>Add Languages</x:t>
  </x:si>
  <x:si>
    <x:t>Program Site</x:t>
  </x:si>
  <x:si>
    <x:t>Release Date</x:t>
  </x:si>
  <x:si>
    <x:t>Resource field.</x:t>
  </x:si>
  <x:si>
    <x:t>Planned\nWork</x:t>
  </x:si>
  <x:si>
    <x:t>%Work\nComplete</x:t>
  </x:si>
  <x:si>
    <x:t>Specific Date</x:t>
  </x:si>
  <x:si>
    <x:t>UPDATED_DATE</x:t>
  </x:si>
  <x:si>
    <x:t>Start-Finish</x:t>
  </x:si>
  <x:si>
    <x:t>Specific path</x:t>
  </x:si>
  <x:si>
    <x:t>This Month only</x:t>
  </x:si>
  <x:si>
    <x:t>To (XLGantt)</x:t>
  </x:si>
  <x:si>
    <x:t>Outline Level</x:t>
  </x:si>
  <x:si>
    <x:t>This Week only</x:t>
  </x:si>
  <x:si>
    <x:t>PROGRAM_SITE</x:t>
  </x:si>
  <x:si>
    <x:t>Nonworking Days</x:t>
  </x:si>
  <x:si>
    <x:t>Project Name</x:t>
  </x:si>
  <x:si>
    <x:t>Outdent Task</x:t>
  </x:si>
  <x:si>
    <x:t>%Work Complete</x:t>
  </x:si>
  <x:si>
    <x:t>PROGRAM_NAME</x:t>
  </x:si>
  <x:si>
    <x:t>Actual\nStart</x:t>
  </x:si>
  <x:si>
    <x:t>Import Option</x:t>
  </x:si>
  <x:si>
    <x:t>Actual\nFinish</x:t>
  </x:si>
  <x:si>
    <x:t>INSERTED_DATE</x:t>
  </x:si>
  <x:si>
    <x:t>Import Wizard</x:t>
  </x:si>
  <x:si>
    <x:t>Program Info</x:t>
  </x:si>
  <x:si>
    <x:t>Program Name</x:t>
  </x:si>
  <x:si>
    <x:t>Reformatting</x:t>
  </x:si>
  <x:si>
    <x:t>DO NOT UPDATE</x:t>
  </x:si>
  <x:si>
    <x:t>AUTHOR_EMAIL</x:t>
  </x:si>
  <x:si>
    <x:t>Choose directly</x:t>
  </x:si>
  <x:si>
    <x:t>Deliverables</x:t>
  </x:si>
  <x:si>
    <x:t>실제 총기간__(전체 기간)</x:t>
  </x:si>
  <x:si>
    <x:t>MS Outlook작업 등록</x:t>
  </x:si>
  <x:si>
    <x:t>Update Schedule</x:t>
  </x:si>
  <x:si>
    <x:t>전체 조회(필터 해제)</x:t>
  </x:si>
  <x:si>
    <x:t>계획진척율 계산 기준일자</x:t>
  </x:si>
  <x:si>
    <x:t>Actual Finish</x:t>
  </x:si>
  <x:si>
    <x:t>Workloads by {}</x:t>
  </x:si>
  <x:si>
    <x:t>Monthly view</x:t>
  </x:si>
  <x:si>
    <x:t>일 (월평균 근무일수)</x:t>
  </x:si>
  <x:si>
    <x:t>Planned Work</x:t>
  </x:si>
  <x:si>
    <x:t>WBS,Gantt Chart</x:t>
  </x:si>
  <x:si>
    <x:t>Name:taskDisp</x:t>
  </x:si>
  <x:si>
    <x:t>Name:dateDisp</x:t>
  </x:si>
  <x:si>
    <x:t>Current Version</x:t>
  </x:si>
  <x:si>
    <x:t>%Work__Complete</x:t>
  </x:si>
  <x:si>
    <x:t>Total\nDuration</x:t>
  </x:si>
  <x:si>
    <x:t>Actual Start</x:t>
  </x:si>
  <x:si>
    <x:t>manual input</x:t>
  </x:si>
  <x:si>
    <x:t>OPTIONS_GENERAL</x:t>
  </x:si>
  <x:si>
    <x:t>Display date</x:t>
  </x:si>
  <x:si>
    <x:t>Actual__Finish</x:t>
  </x:si>
  <x:si>
    <x:t>Planned__Work</x:t>
  </x:si>
  <x:si>
    <x:t>Name:groupRows</x:t>
  </x:si>
  <x:si>
    <x:t>AnalysisReport</x:t>
  </x:si>
  <x:si>
    <x:t>간트차트 눈금에 날짜 표시</x:t>
  </x:si>
  <x:si>
    <x:t>Total Duration</x:t>
  </x:si>
  <x:si>
    <x:t>Total__Duration</x:t>
  </x:si>
  <x:si>
    <x:t xml:space="preserve"> Mapping된 상태</x:t>
  </x:si>
  <x:si>
    <x:t>Actual__Start</x:t>
  </x:si>
  <x:si>
    <x:t>&lt;&lt; Mapping취소</x:t>
  </x:si>
  <x:si>
    <x:t>실제
\n시작일-완료일</x:t>
  </x:si>
  <x:si>
    <x:t>MS Outlook일정 등록</x:t>
  </x:si>
  <x:si>
    <x:t>계산할 입력자료가 없습니다.</x:t>
  </x:si>
  <x:si>
    <x:t>for Week Number</x:t>
  </x:si>
  <x:si>
    <x:t>Name:optWeekNum</x:t>
  </x:si>
  <x:si>
    <x:t>totalWorkload</x:t>
  </x:si>
  <x:si>
    <x:t>산출물명이 비어있습니다.</x:t>
  </x:si>
  <x:si>
    <x:t>필드명이 잘못되었습니다!</x:t>
  </x:si>
  <x:si>
    <x:t>가져올 데이터가 없습니다.</x:t>
  </x:si>
  <x:si>
    <x:t>planWorkload</x:t>
  </x:si>
  <x:si>
    <x:t>Workload(담당별)</x:t>
  </x:si>
  <x:si>
    <x:t>actualWorkload</x:t>
  </x:si>
  <x:si>
    <x:t>Workload(주별)</x:t>
  </x:si>
  <x:si>
    <x:t>resourceWeight</x:t>
  </x:si>
  <x:si>
    <x:t>가져올 파일 종류 선택</x:t>
  </x:si>
  <x:si>
    <x:t>기존Data 지우고 가져오기</x:t>
  </x:si>
  <x:si>
    <x:t>산출물 종류를 선택하세요</x:t>
  </x:si>
  <x:si>
    <x:t>같은 필드에 작업명 표시</x:t>
  </x:si>
  <x:si>
    <x:t>프로그램 최신버전 다운로드</x:t>
  </x:si>
  <x:si>
    <x:t>지정하지 않음(표준캘린더)</x:t>
  </x:si>
  <x:si>
    <x:t>기존Data 아래에 추가하기</x:t>
  </x:si>
  <x:si>
    <x:t>현재일까지 계획된 작업량</x:t>
  </x:si>
  <x:si>
    <x:t>이미 선택된 언어입니다.</x:t>
  </x:si>
  <x:si>
    <x:t>Workload현황({})</x:t>
  </x:si>
  <x:si>
    <x:t>작업그룹의 배경색 회색표시</x:t>
  </x:si>
  <x:si>
    <x:t>입력된 자료가 없습니다</x:t>
  </x:si>
  <x:si>
    <x:t>Workload(월별)</x:t>
  </x:si>
  <x:si>
    <x:t>언어가 선택되지 않았습니다.</x:t>
  </x:si>
  <x:si>
    <x:t>기존Data에 추가하기</x:t>
  </x:si>
  <x:si>
    <x:t>확장자명을 입력하세요.</x:t>
  </x:si>
  <x:si>
    <x:t>시작일이 완료일보다 큽니다.</x:t>
  </x:si>
  <x:si>
    <x:t>입력된 자료가 없습니다.</x:t>
  </x:si>
  <x:si>
    <x:t>가져오기 옵션을 선택하세요.</x:t>
  </x:si>
  <x:si>
    <x:t xml:space="preserve">가져온 자료의 행수 : </x:t>
  </x:si>
  <x:si>
    <x:t>Actual Progress</x:t>
  </x:si>
  <x:si>
    <x:t>for help sheet</x:t>
  </x:si>
  <x:si>
    <x:t>간트차트 표시방법 설정</x:t>
  </x:si>
  <x:si>
    <x:t>Actual Man-Day</x:t>
  </x:si>
  <x:si>
    <x:t>reserved index</x:t>
  </x:si>
  <x:si>
    <x:t>다른 파일에서 일정 가져오기</x:t>
  </x:si>
  <x:si>
    <x:t>Workload Data</x:t>
  </x:si>
  <x:si>
    <x:t>Schedule change</x:t>
  </x:si>
  <x:si>
    <x:t>간트차트 하위작업Bar</x:t>
  </x:si>
  <x:si>
    <x:t>프로젝트 진척율(월별)</x:t>
  </x:si>
  <x:si>
    <x:t>Benchmarking</x:t>
  </x:si>
  <x:si>
    <x:t>간트차트 그룹작업Bar</x:t>
  </x:si>
  <x:si>
    <x:t>실제작업량(Man-Day)</x:t>
  </x:si>
  <x:si>
    <x:t>실제 누적\nMan-Day</x:t>
  </x:si>
  <x:si>
    <x:t>작업을 마일스톤으로 지정</x:t>
  </x:si>
  <x:si>
    <x:t>작업입력, 스케줄 업데이트</x:t>
  </x:si>
  <x:si>
    <x:t>WBS영역 위의 타이틀</x:t>
  </x:si>
  <x:si>
    <x:t>xlgantt_task_id</x:t>
  </x:si>
  <x:si>
    <x:t>프로젝트 진척율(주별)</x:t>
  </x:si>
  <x:si>
    <x:t>계획작업량(Man-Day)</x:t>
  </x:si>
  <x:si>
    <x:t>WBS 타이틀 - 입력필드</x:t>
  </x:si>
  <x:si>
    <x:t>Elsa,John[50%]</x:t>
  </x:si>
  <x:si>
    <x:t>Title above WBS</x:t>
  </x:si>
  <x:si>
    <x:t>범위확정시 주요화면 준비</x:t>
  </x:si>
  <x:si>
    <x:t>Black &amp; White</x:t>
  </x:si>
  <x:si>
    <x:t>홍길동,김길동[50%]</x:t>
  </x:si>
  <x:si>
    <x:t>actualFinish</x:t>
  </x:si>
  <x:si>
    <x:t>실적기성(Man-Day)</x:t>
  </x:si>
  <x:si>
    <x:t>도움말, 최신 버전 다운로드</x:t>
  </x:si>
  <x:si>
    <x:t>Analysis report</x:t>
  </x:si>
  <x:si>
    <x:t>timebucketStart</x:t>
  </x:si>
  <x:si>
    <x:t>간트차트 눈금에 년도 표시</x:t>
  </x:si>
  <x:si>
    <x:t>21대 국회위원 선거일</x:t>
  </x:si>
  <x:si>
    <x:t>2020년 8월 임시공휴일</x:t>
  </x:si>
  <x:si>
    <x:t>프로젝트 착수 및 계획수립</x:t>
  </x:si>
  <x:si>
    <x:t>Architecture설계</x:t>
  </x:si>
  <x:si>
    <x:t>착수보고(Kick off)</x:t>
  </x:si>
  <x:si>
    <x:t>Behind schedule</x:t>
  </x:si>
  <x:si>
    <x:t>계획과 같은 날짜에 시작됨</x:t>
  </x:si>
  <x:si>
    <x:t>별(*)표시는 필수입력</x:t>
  </x:si>
  <x:si>
    <x:t>2021년 부처님오신날</x:t>
  </x:si>
  <x:si>
    <x:t>2020년 부처님오신날</x:t>
  </x:si>
  <x:si>
    <x:t>일정변경 관리 안할 때</x:t>
  </x:si>
  <x:si>
    <x:t>프로젝트 수행 및 통제</x:t>
  </x:si>
  <x:si>
    <x:t>동일한 필드명이 존재합니다.</x:t>
  </x:si>
  <x:si>
    <x:t>2020년 설날 대체휴일</x:t>
  </x:si>
  <x:si>
    <x:t>Gantt Chart 축소/확대 비율(최대 999%)</x:t>
  </x:si>
  <x:si>
    <x:t>Time bucket type is invalid.</x:t>
  </x:si>
  <x:si>
    <x:t>Total workload of the project</x:t>
  </x:si>
  <x:si>
    <x:t>You can not indent any more!</x:t>
  </x:si>
  <x:si>
    <x:t>OPTIONS_DELIVERABLES_PGM_PATH</x:t>
  </x:si>
  <x:si>
    <x:t>Name:completeTaskGrayDisplay</x:t>
  </x:si>
  <x:si>
    <x:t>You didn't choose a language.</x:t>
  </x:si>
  <x:si>
    <x:t>You can not outdent any more!</x:t>
  </x:si>
  <x:si>
    <x:t>Name:setTaskDateToProjectDate</x:t>
  </x:si>
  <x:si>
    <x:t>Name:taskNameDisplayPosition</x:t>
  </x:si>
  <x:si>
    <x:t>Name:languageSelectedByManual</x:t>
  </x:si>
  <x:si>
    <x:t>Name:optGanttChartColumnDisplay</x:t>
  </x:si>
  <x:si>
    <x:t>Choose a file type to import</x:t>
  </x:si>
  <x:si>
    <x:t xml:space="preserve">Check for Updates on Startup </x:t>
  </x:si>
  <x:si>
    <x:t>Display Planned %Work Complete</x:t>
  </x:si>
  <x:si>
    <x:t>Bar chart Text Display Position</x:t>
  </x:si>
  <x:si>
    <x:t>C:\WINDOWS\system32\notepad.exe</x:t>
  </x:si>
  <x:si>
    <x:t>* "담당별진행율" 메뉴를 클릭해야 내용이 갱신됩니다.</x:t>
  </x:si>
  <x:si>
    <x:t xml:space="preserve"> Source필드 명       Target필드 명</x:t>
  </x:si>
  <x:si>
    <x:t>Man-Month</x:t>
  </x:si>
  <x:si>
    <x:t>Freeware</x:t>
  </x:si>
  <x:si>
    <x:t>Actual Workload Accumulated(Man-Day)</x:t>
  </x:si>
  <x:si>
    <x:t>WBS Level 열이 삭제되었습니다. 원래대로 복구한 후 작업하세요.</x:t>
  </x:si>
  <x:si>
    <x:t>Calendar 열이 삭제되었습니다. 원래대로 복구한 후 작업하세요.</x:t>
  </x:si>
  <x:si>
    <x:t>각 작업의 실제시작일을 표시합니다. 반드시 날짜 형식이어야 합니다.</x:t>
  </x:si>
  <x:si>
    <x:t>실제총작업량 열이 삭제되었습니다. 원래대로 복구한 후 작업하세요.</x:t>
  </x:si>
  <x:si>
    <x:t>{2} sheet의 {1}행의 실제시작일이 실제완료일보다 큽니다.</x:t>
  </x:si>
  <x:si>
    <x:t>사용하고 계신 XLGantt는 최신 버전입니다.\n현재 버전 : {}</x:t>
  </x:si>
  <x:si>
    <x:t>Planned Workload Accumulated(Man-Day)</x:t>
  </x:si>
  <x:si>
    <x:t>Importing Schedules from Another File</x:t>
  </x:si>
  <x:si>
    <x:t>Name:chkProjectWeekNumDispOverTimescale</x:t>
  </x:si>
  <x:si>
    <x:t>https://xlworks.net/xlgantt-easy-tip/</x:t>
  </x:si>
  <x:si>
    <x:t>1~2행 중 한 행이 삭제되었습니다. 원래대로 복구한 후 작업하십시오.</x:t>
  </x:si>
  <x:si>
    <x:t>계획진척율 계산 기준일자는 프로젝트 시작일보다 크거나 같아야 합니다.</x:t>
  </x:si>
  <x:si>
    <x:t>계획진척율 계산 기준일자는 프로젝트 완료일보다 작거나 같아야 합니다.</x:t>
  </x:si>
  <x:si>
    <x:t xml:space="preserve">작업명으로 경로 자동지정(이 경우 자동지정된 경로의 상위경로를 입력) </x:t>
  </x:si>
  <x:si>
    <x:t>Task열의 갯수가 10개가 아닙니다. 원래대로 복구한 후 작업하세요.</x:t>
  </x:si>
  <x:si>
    <x:t>Display date or day on the timescale</x:t>
  </x:si>
  <x:si>
    <x:t>https://xlworks.net/xlgantt-howto-02-task/</x:t>
  </x:si>
  <x:si>
    <x:t>There was an error in "Progress Line" drawing. This can happen if the actual start date or actual finish date is beyond the project period. Check the message below.</x:t>
  </x:si>
  <x:si>
    <x:t>To import files from source to the target file, map the respective fields.\nSelect a field in source file first and then find a corresponding field in the target file.</x:t>
  </x:si>
  <x:si>
    <x:t xml:space="preserve">You can use start and finish dates, actual start and finish dates. You can identify the schedule is delayed or aheaded by entering actual start and finish dates. </x:t>
  </x:si>
  <x:si>
    <x:t>When you enter task names, start and finish dates, and %work complete values, XLGantt automatically calculates the tasks durations, planned %work complete values.</x:t>
  </x:si>
  <x:si>
    <x:t>Set saving path of deliverables</x:t>
  </x:si>
  <x:si>
    <x:t>The deliverables name is empty.</x:t>
  </x:si>
  <x:si>
    <x:t>The level of row {} is invalid.</x:t>
  </x:si>
  <x:si>
    <x:t>Name:optPlanRateCriteriaDate</x:t>
  </x:si>
  <x:si>
    <x:t>Actual finish date is invalid.</x:t>
  </x:si>
  <x:si>
    <x:t>Actual start date is invalid.</x:t>
  </x:si>
  <x:si>
    <x:t>Choose the Type of Deliverables</x:t>
  </x:si>
  <x:si>
    <x:t>Error, Invalid field specified.</x:t>
  </x:si>
  <x:si>
    <x:t>Import files created in XLGantt</x:t>
  </x:si>
  <x:si>
    <x:t>It's already chosen language.</x:t>
  </x:si>
  <x:si>
    <x:t>Importing..., Please wait...</x:t>
  </x:si>
  <x:si>
    <x:t>Not Managing Schedule Changes</x:t>
  </x:si>
  <x:si>
    <x:t>Planned Work\n(ManDay to Today)</x:t>
  </x:si>
  <x:si>
    <x:t>Fri</x:t>
  </x:si>
  <x:si>
    <x:t>Etc</x:t>
  </x:si>
  <x:si>
    <x:t>...</x:t>
  </x:si>
  <x:si>
    <x:t>Sat</x:t>
  </x:si>
  <x:si>
    <x:t>Mon</x:t>
  </x:si>
  <x:si>
    <x:t>Sun</x:t>
  </x:si>
  <x:si>
    <x:t>완료일</x:t>
  </x:si>
  <x:si>
    <x:t>wbs</x:t>
  </x:si>
  <x:si>
    <x:t>메모장</x:t>
  </x:si>
  <x:si>
    <x:t>시작일</x:t>
  </x:si>
  <x:si>
    <x:t>완료율</x:t>
  </x:si>
  <x:si>
    <x:t>Wed</x:t>
  </x:si>
  <x:si>
    <x:t>작업</x:t>
  </x:si>
  <x:si>
    <x:t>완료</x:t>
  </x:si>
  <x:si>
    <x:t>계획</x:t>
  </x:si>
  <x:si>
    <x:t>수동</x:t>
  </x:si>
  <x:si>
    <x:t>비고</x:t>
  </x:si>
  <x:si>
    <x:t>txt</x:t>
  </x:si>
  <x:si>
    <x:t>담당</x:t>
  </x:si>
  <x:si>
    <x:t>취소</x:t>
  </x:si>
  <x:si>
    <x:t>일별</x:t>
  </x:si>
  <x:si>
    <x:t>가중치</x:t>
  </x:si>
  <x:si>
    <x:t>차트</x:t>
  </x:si>
  <x:si>
    <x:t>닫기</x:t>
  </x:si>
  <x:si>
    <x:t>자동</x:t>
  </x:si>
  <x:si>
    <x:t>같음</x:t>
  </x:si>
  <x:si>
    <x:t>Thu</x:t>
  </x:si>
  <x:si>
    <x:t>기간</x:t>
  </x:si>
  <x:si>
    <x:t>포함</x:t>
  </x:si>
  <x:si>
    <x:t>기타</x:t>
  </x:si>
  <x:si>
    <x:t>엑셀</x:t>
  </x:si>
  <x:si>
    <x:t>실적</x:t>
  </x:si>
  <x:si>
    <x:t>산출물</x:t>
  </x:si>
  <x:si>
    <x:t>총기간</x:t>
  </x:si>
  <x:si>
    <x:t>분석</x:t>
  </x:si>
  <x:si>
    <x:t>금</x:t>
  </x:si>
  <x:si>
    <x:t>WBS</x:t>
  </x:si>
  <x:si>
    <x:t>Tue</x:t>
  </x:si>
  <x:si>
    <x:t>설정</x:t>
  </x:si>
  <x:si>
    <x:t>1</x:t>
  </x:si>
  <x:si>
    <x:t>2</x:t>
  </x:si>
  <x:si>
    <x:t>4</x:t>
  </x:si>
  <x:si>
    <x:t>작업명</x:t>
  </x:si>
  <x:si>
    <x:t>목</x:t>
  </x:si>
  <x:si>
    <x:t>7</x:t>
  </x:si>
  <x:si>
    <x:t>주별</x:t>
  </x:si>
  <x:si>
    <x:t>일</x:t>
  </x:si>
  <x:si>
    <x:t>1.2</x:t>
  </x:si>
  <x:si>
    <x:t>1.1</x:t>
  </x:si>
  <x:si>
    <x:t>9</x:t>
  </x:si>
  <x:si>
    <x:t>홍길동</x:t>
  </x:si>
  <x:si>
    <x:t>3</x:t>
  </x:si>
  <x:si>
    <x:t>수</x:t>
  </x:si>
  <x:si>
    <x:t>dwg</x:t>
  </x:si>
  <x:si>
    <x:t>1.3</x:t>
  </x:si>
  <x:si>
    <x:t>저장</x:t>
  </x:si>
  <x:si>
    <x:t>언어</x:t>
  </x:si>
  <x:si>
    <x:t>오늘</x:t>
  </x:si>
  <x:si>
    <x:t>월</x:t>
  </x:si>
  <x:si>
    <x:t>워드</x:t>
  </x:si>
  <x:si>
    <x:t>5</x:t>
  </x:si>
  <x:si>
    <x:t>6</x:t>
  </x:si>
  <x:si>
    <x:t>8</x:t>
  </x:si>
  <x:si>
    <x:t>진척율</x:t>
  </x:si>
  <x:si>
    <x:t>토</x:t>
  </x:si>
  <x:si>
    <x:t>미완료</x:t>
  </x:si>
  <x:si>
    <x:t>옵션</x:t>
  </x:si>
  <x:si>
    <x:t>일반</x:t>
  </x:si>
  <x:si>
    <x:t>월별</x:t>
  </x:si>
  <x:si>
    <x:t>화</x:t>
  </x:si>
  <x:si>
    <x:t>UAT</x:t>
  </x:si>
  <x:si>
    <x:t>나개발</x:t>
  </x:si>
  <x:si>
    <x:t>흑백</x:t>
  </x:si>
  <x:si>
    <x:t>F</x:t>
  </x:si>
  <x:si>
    <x:t>W9</x:t>
  </x:si>
  <x:si>
    <x:t>W5</x:t>
  </x:si>
  <x:si>
    <x:t>기본</x:t>
  </x:si>
  <x:si>
    <x:t>김분석</x:t>
  </x:si>
  <x:si>
    <x:t>그린</x:t>
  </x:si>
  <x:si>
    <x:t>나고객</x:t>
  </x:si>
  <x:si>
    <x:t>W13</x:t>
  </x:si>
  <x:si>
    <x:t>15</x:t>
  </x:si>
  <x:si>
    <x:t>이지은</x:t>
  </x:si>
  <x:si>
    <x:t>이고객</x:t>
  </x:si>
  <x:si>
    <x:t>모양</x:t>
  </x:si>
  <x:si>
    <x:t>도움말</x:t>
  </x:si>
  <x:si>
    <x:t>11</x:t>
  </x:si>
  <x:si>
    <x:t>날짜</x:t>
  </x:si>
  <x:si>
    <x:t>12</x:t>
  </x:si>
  <x:si>
    <x:t>14</x:t>
  </x:si>
  <x:si>
    <x:t>10</x:t>
  </x:si>
  <x:si>
    <x:t>개발</x:t>
  </x:si>
  <x:si>
    <x:t>사용법</x:t>
  </x:si>
  <x:si>
    <x:t>1.4</x:t>
  </x:si>
  <x:si>
    <x:t>13</x:t>
  </x:si>
  <x:si>
    <x:t>박설계</x:t>
  </x:si>
  <x:si>
    <x:t>W1</x:t>
  </x:si>
  <x:si>
    <x:t>16</x:t>
  </x:si>
  <x:si>
    <x:t>코딩</x:t>
  </x:si>
  <x:si>
    <x:t>퍼플</x:t>
  </x:si>
  <x:si>
    <x:t>설계</x:t>
  </x:si>
  <x:si>
    <x:t>테스트</x:t>
  </x:si>
  <x:si>
    <x:t>오른쪽</x:t>
  </x:si>
  <x:si>
    <x:t>Day</x:t>
  </x:si>
  <x:si>
    <x:t>W17</x:t>
  </x:si>
  <x:si>
    <x:t>2.2</x:t>
  </x:si>
  <x:si>
    <x:t>가운데</x:t>
  </x:si>
  <x:si>
    <x:t>2.3</x:t>
  </x:si>
  <x:si>
    <x:t>모듈D</x:t>
  </x:si>
  <x:si>
    <x:t>박피엠</x:t>
  </x:si>
  <x:si>
    <x:t>G</x:t>
  </x:si>
  <x:si>
    <x:t>왼쪽</x:t>
  </x:si>
  <x:si>
    <x:t>모듈B</x:t>
  </x:si>
  <x:si>
    <x:t>2.4</x:t>
  </x:si>
  <x:si>
    <x:t>실적*</x:t>
  </x:si>
  <x:si>
    <x:t>작업*</x:t>
  </x:si>
  <x:si>
    <x:t>W21</x:t>
  </x:si>
  <x:si>
    <x:t>모듈C</x:t>
  </x:si>
  <x:si>
    <x:t>요일</x:t>
  </x:si>
  <x:si>
    <x:t>2.1</x:t>
  </x:si>
  <x:si>
    <x:t>총합계</x:t>
  </x:si>
  <x:si>
    <x:t>(금)</x:t>
  </x:si>
  <x:si>
    <x:t/>
  </x:si>
  <x:si>
    <x:t>(월)</x:t>
  </x:si>
  <x:si>
    <x:t>(수)</x:t>
  </x:si>
  <x:si>
    <x:t>(목)</x:t>
  </x:si>
  <x:si>
    <x:t>(화)</x:t>
  </x:si>
  <x:si>
    <x: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x:t>
  </x:si>
  <x:si>
    <x: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x:t>
  </x:si>
  <x:si>
    <x:t>Because the following task already has been added, XLGantt does not add it to "Outlook".\n\nTask Name : {1} \nDue Date : {2}</x:t>
  </x:si>
  <x:si>
    <x:t>Because the following task already has been added, XLGantt does not add it to "Outlook".\n\nTask Name : {1} \nStart Date : {2}</x:t>
  </x:si>
  <x:si>
    <x:t xml:space="preserve">0.00% 데이터베이스설계 10/14-10/28 </x:t>
  </x:si>
  <x:si>
    <x:t xml:space="preserve">0.00% 테스트 설계 10/14-10/28 </x:t>
  </x:si>
  <x:si>
    <x:t xml:space="preserve">         0.00% 착수보고(Kick off)(이지은) 9/9-9/9 </x:t>
  </x:si>
  <x:si>
    <x:t xml:space="preserve">    0.00% Conversion 및 Release 11/26-12/16 </x:t>
  </x:si>
  <x:si>
    <x:t xml:space="preserve">0.00% 통합테스트실시 11/19-11/25 </x:t>
  </x:si>
  <x:si>
    <x:t>하트웨어 구축</x:t>
  </x:si>
  <x:si>
    <x:t xml:space="preserve">    0.00% </x:t>
  </x:si>
  <x:si>
    <x:t>소프트웨어모델링</x:t>
  </x:si>
  <x:si>
    <x:t xml:space="preserve">     설계 10/14-10/28 </x:t>
  </x:si>
  <x:si>
    <x:t xml:space="preserve">  프로젝트 종료 12/9-12/16 </x:t>
  </x:si>
  <x:si>
    <x:t xml:space="preserve">   0.00% 분석 10/7-10/14 </x:t>
  </x:si>
  <x:si>
    <x:t>소프트웨어 구축</x:t>
  </x:si>
  <x:si>
    <x:t>1.2.6</x:t>
  </x:si>
  <x:si>
    <x:t>결과보고</x:t>
  </x:si>
  <x:si>
    <x:t>최종보고</x:t>
  </x:si>
  <x:si>
    <x:t xml:space="preserve">0.00% 프로젝트 계획 수립(이지은) 9/9-9/9 </x:t>
  </x:si>
  <x:si>
    <x:t xml:space="preserve">  프로젝트 관리 9/2-12/16 </x:t>
  </x:si>
  <x:si>
    <x:t xml:space="preserve">    0.00% 데이터베이스구축 11/26-12/9 </x:t>
  </x:si>
  <x:si>
    <x:t xml:space="preserve">  0.00% 논리모델구축 10/7-10/14 </x:t>
  </x:si>
  <x:si>
    <x:t xml:space="preserve">     시스템 설계 10/14-10/28 </x:t>
  </x:si>
  <x:si>
    <x:t>시험실시</x:t>
  </x:si>
  <x:si>
    <x:t>1.2.9</x:t>
  </x:si>
  <x:si>
    <x:t>시험 피드벡</x:t>
  </x:si>
  <x:si>
    <x:t>1.2.7</x:t>
  </x:si>
  <x:si>
    <x:t>1.2.8</x:t>
  </x:si>
  <x:si>
    <x:t xml:space="preserve">      0.00% </x:t>
  </x:si>
  <x:si>
    <x:t>소프트웨어 설계</x:t>
  </x:si>
  <x:si>
    <x:t>1.2.5</x:t>
  </x:si>
  <x:si>
    <x:t xml:space="preserve">0.00% 단위테스트시나리오작성 10/29-11/4 </x:t>
  </x:si>
  <x:si>
    <x:t xml:space="preserve">  0.00% 데이터모델링(박설계[120%],이지은[50%]) 10/7-10/14 </x:t>
  </x:si>
  <x:si>
    <x:t xml:space="preserve">     0.00% 월간보고2(박피엠[20%]) 10/14-7/16 </x:t>
  </x:si>
  <x:si>
    <x:t xml:space="preserve">     0.00% 중간보고 10/28-10/28 </x:t>
  </x:si>
  <x:si>
    <x:t xml:space="preserve">    0.00% 월간보고1(박피엠[20%]) 10/7-6/18 </x:t>
  </x:si>
</x:sst>
</file>

<file path=xl/styles.xml><?xml version="1.0" encoding="utf-8"?>
<x:styleSheet xmlns:r="http://schemas.openxmlformats.org/officeDocument/2006/relationships" xmlns:c="http://schemas.openxmlformats.org/drawingml/2006/chart" xmlns:x="http://schemas.openxmlformats.org/spreadsheetml/2006/main">
  <x:numFmts count="4">
    <x:numFmt numFmtId="164" formatCode="0_);[Red]\(0\)"/>
    <x:numFmt numFmtId="165" formatCode="0.0"/>
    <x:numFmt numFmtId="166" formatCode="0.0_);[Red]\(0.0\)"/>
    <x:numFmt numFmtId="167" formatCode="0.00_);[Red]\(0.00\)"/>
  </x:numFmts>
  <x:fonts count="50">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0"/>
      <x:color rgb="ffffffff"/>
    </x:font>
    <mc:AlternateContent xmlns:mc="http://schemas.openxmlformats.org/markup-compatibility/2006">
      <mc:Choice xmlns:hs="http://schemas.haansoft.com/office/spreadsheet/8.0" Requires="hs">
        <x:font hs:extension="1">
          <x:name val="돋움"/>
          <x:sz val="11"/>
          <x:color rgb="ff0563c1"/>
          <x:u/>
          <hs:underlineShape val="solid"/>
          <hs:underlineType val="1"/>
          <hs:underlineColor rgb="ff0563c1"/>
        </x:font>
      </mc:Choice>
      <mc:Fallback>
        <x:font>
          <x:name val="돋움"/>
          <x:sz val="11"/>
          <x:color rgb="ff0563c1"/>
          <x:u/>
        </x:font>
      </mc:Fallback>
    </mc:AlternateContent>
    <x:font>
      <x:name val="돋움"/>
      <x:sz val="11"/>
      <x:color rgb="ff000000"/>
    </x:font>
    <mc:AlternateContent xmlns:mc="http://schemas.openxmlformats.org/markup-compatibility/2006">
      <mc:Choice xmlns:hs="http://schemas.haansoft.com/office/spreadsheet/8.0" Requires="hs">
        <x:font hs:extension="1">
          <x:name val="Calibri"/>
          <x:sz val="16"/>
          <x:color rgb="ff0070c0"/>
          <x:b val="1"/>
          <hs:size val="100"/>
          <hs:ratio val="100"/>
          <hs:spacing val="0"/>
          <hs:offset val="0"/>
        </x:font>
      </mc:Choice>
      <mc:Fallback>
        <x:font>
          <x:name val="Calibri"/>
          <x:sz val="16"/>
          <x:color rgb="ff0070c0"/>
          <x:b val="1"/>
        </x:font>
      </mc:Fallback>
    </mc:AlternateContent>
    <mc:AlternateContent xmlns:mc="http://schemas.openxmlformats.org/markup-compatibility/2006">
      <mc:Choice xmlns:hs="http://schemas.haansoft.com/office/spreadsheet/8.0" Requires="hs">
        <x:font hs:extension="1">
          <x:name val="Calibri"/>
          <x:sz val="9"/>
          <x:color rgb="ff0070c0"/>
          <hs:size val="100"/>
          <hs:ratio val="100"/>
          <hs:spacing val="0"/>
          <hs:offset val="0"/>
        </x:font>
      </mc:Choice>
      <mc:Fallback>
        <x:font>
          <x:name val="Calibri"/>
          <x:sz val="9"/>
          <x:color rgb="ff0070c0"/>
        </x:font>
      </mc:Fallback>
    </mc:AlternateContent>
    <mc:AlternateContent xmlns:mc="http://schemas.openxmlformats.org/markup-compatibility/2006">
      <mc:Choice xmlns:hs="http://schemas.haansoft.com/office/spreadsheet/8.0" Requires="hs">
        <x:font hs:extension="1">
          <x:name val="Calibri"/>
          <x:sz val="16"/>
          <x:color rgb="ffffffff"/>
          <x:b val="1"/>
          <hs:size val="100"/>
          <hs:ratio val="100"/>
          <hs:spacing val="0"/>
          <hs:offset val="0"/>
        </x:font>
      </mc:Choice>
      <mc:Fallback>
        <x:font>
          <x:name val="Calibri"/>
          <x:sz val="16"/>
          <x:color rgb="ffffffff"/>
          <x:b val="1"/>
        </x:font>
      </mc:Fallback>
    </mc:AlternateContent>
    <mc:AlternateContent xmlns:mc="http://schemas.openxmlformats.org/markup-compatibility/2006">
      <mc:Choice xmlns:hs="http://schemas.haansoft.com/office/spreadsheet/8.0" Requires="hs">
        <x:font hs:extension="1">
          <x:name val="Calibri"/>
          <x:sz val="11"/>
          <x:color rgb="ff000000"/>
          <hs:size val="100"/>
          <hs:ratio val="100"/>
          <hs:spacing val="0"/>
          <hs:offset val="0"/>
        </x:font>
      </mc:Choice>
      <mc:Fallback>
        <x:font>
          <x:name val="Calibri"/>
          <x:sz val="11"/>
          <x:color rgb="ff000000"/>
        </x:font>
      </mc:Fallback>
    </mc:AlternateContent>
    <mc:AlternateContent xmlns:mc="http://schemas.openxmlformats.org/markup-compatibility/2006">
      <mc:Choice xmlns:hs="http://schemas.haansoft.com/office/spreadsheet/8.0" Requires="hs">
        <x:font hs:extension="1">
          <x:name val="Calibri"/>
          <x:sz val="10"/>
          <x:color rgb="ff000000"/>
          <hs:size val="100"/>
          <hs:ratio val="100"/>
          <hs:spacing val="0"/>
          <hs:offset val="0"/>
        </x:font>
      </mc:Choice>
      <mc:Fallback>
        <x:font>
          <x:name val="Calibri"/>
          <x:sz val="10"/>
          <x:color rgb="ff000000"/>
        </x:font>
      </mc:Fallback>
    </mc:AlternateContent>
    <mc:AlternateContent xmlns:mc="http://schemas.openxmlformats.org/markup-compatibility/2006">
      <mc:Choice xmlns:hs="http://schemas.haansoft.com/office/spreadsheet/8.0" Requires="hs">
        <x:font hs:extension="1">
          <x:name val="Calibri"/>
          <x:sz val="10"/>
          <x:color rgb="ff0070c0"/>
          <x:b val="1"/>
          <hs:size val="100"/>
          <hs:ratio val="100"/>
          <hs:spacing val="0"/>
          <hs:offset val="0"/>
        </x:font>
      </mc:Choice>
      <mc:Fallback>
        <x:font>
          <x:name val="Calibri"/>
          <x:sz val="10"/>
          <x:color rgb="ff0070c0"/>
          <x:b val="1"/>
        </x:font>
      </mc:Fallback>
    </mc:AlternateContent>
    <mc:AlternateContent xmlns:mc="http://schemas.openxmlformats.org/markup-compatibility/2006">
      <mc:Choice xmlns:hs="http://schemas.haansoft.com/office/spreadsheet/8.0" Requires="hs">
        <x:font hs:extension="1">
          <x:name val="Calibri"/>
          <x:sz val="10"/>
          <x:color rgb="ff0070c0"/>
          <hs:size val="100"/>
          <hs:ratio val="100"/>
          <hs:spacing val="0"/>
          <hs:offset val="0"/>
        </x:font>
      </mc:Choice>
      <mc:Fallback>
        <x:font>
          <x:name val="Calibri"/>
          <x:sz val="10"/>
          <x:color rgb="ff0070c0"/>
        </x:font>
      </mc:Fallback>
    </mc:AlternateContent>
    <mc:AlternateContent xmlns:mc="http://schemas.openxmlformats.org/markup-compatibility/2006">
      <mc:Choice xmlns:hs="http://schemas.haansoft.com/office/spreadsheet/8.0" Requires="hs">
        <x:font hs:extension="1">
          <x:name val="Calibri"/>
          <x:sz val="10"/>
          <x:color rgb="ff000000"/>
          <x:b val="1"/>
          <hs:size val="100"/>
          <hs:ratio val="100"/>
          <hs:spacing val="0"/>
          <hs:offset val="0"/>
        </x:font>
      </mc:Choice>
      <mc:Fallback>
        <x:font>
          <x:name val="Calibri"/>
          <x:sz val="10"/>
          <x:color rgb="ff000000"/>
          <x:b val="1"/>
        </x:font>
      </mc:Fallback>
    </mc:AlternateContent>
    <mc:AlternateContent xmlns:mc="http://schemas.openxmlformats.org/markup-compatibility/2006">
      <mc:Choice xmlns:hs="http://schemas.haansoft.com/office/spreadsheet/8.0" Requires="hs">
        <x:font hs:extension="1">
          <x:name val="Calibri"/>
          <x:sz val="11"/>
          <x:color rgb="ffffffff"/>
          <hs:size val="100"/>
          <hs:ratio val="100"/>
          <hs:spacing val="0"/>
          <hs:offset val="0"/>
        </x:font>
      </mc:Choice>
      <mc:Fallback>
        <x:font>
          <x:name val="Calibri"/>
          <x:sz val="11"/>
          <x:color rgb="ffffffff"/>
        </x:font>
      </mc:Fallback>
    </mc:AlternateContent>
    <mc:AlternateContent xmlns:mc="http://schemas.openxmlformats.org/markup-compatibility/2006">
      <mc:Choice xmlns:hs="http://schemas.haansoft.com/office/spreadsheet/8.0" Requires="hs">
        <x:font hs:extension="1">
          <x:name val="맑은 고딕"/>
          <x:sz val="9"/>
          <x:color rgb="ffffffff"/>
          <hs:size val="100"/>
          <hs:ratio val="100"/>
          <hs:spacing val="0"/>
          <hs:offset val="0"/>
        </x:font>
      </mc:Choice>
      <mc:Fallback>
        <x:font>
          <x:name val="맑은 고딕"/>
          <x:sz val="9"/>
          <x:color rgb="ffffffff"/>
        </x:font>
      </mc:Fallback>
    </mc:AlternateContent>
    <mc:AlternateContent xmlns:mc="http://schemas.openxmlformats.org/markup-compatibility/2006">
      <mc:Choice xmlns:hs="http://schemas.haansoft.com/office/spreadsheet/8.0" Requires="hs">
        <x:font hs:extension="1">
          <x:name val="맑은 고딕"/>
          <x:sz val="9"/>
          <x:color rgb="ff000000"/>
          <hs:size val="100"/>
          <hs:ratio val="100"/>
          <hs:spacing val="0"/>
          <hs:offset val="0"/>
        </x:font>
      </mc:Choice>
      <mc:Fallback>
        <x:font>
          <x:name val="맑은 고딕"/>
          <x:sz val="9"/>
          <x:color rgb="ff000000"/>
        </x:font>
      </mc:Fallback>
    </mc:AlternateContent>
    <mc:AlternateContent xmlns:mc="http://schemas.openxmlformats.org/markup-compatibility/2006">
      <mc:Choice xmlns:hs="http://schemas.haansoft.com/office/spreadsheet/8.0" Requires="hs">
        <x:font hs:extension="1">
          <x:name val="맑은 고딕"/>
          <x:sz val="9"/>
          <x:color rgb="ffff0000"/>
          <hs:size val="100"/>
          <hs:ratio val="100"/>
          <hs:spacing val="0"/>
          <hs:offset val="0"/>
        </x:font>
      </mc:Choice>
      <mc:Fallback>
        <x:font>
          <x:name val="맑은 고딕"/>
          <x:sz val="9"/>
          <x:color rgb="ffff0000"/>
        </x:font>
      </mc:Fallback>
    </mc:AlternateContent>
    <mc:AlternateContent xmlns:mc="http://schemas.openxmlformats.org/markup-compatibility/2006">
      <mc:Choice xmlns:hs="http://schemas.haansoft.com/office/spreadsheet/8.0" Requires="hs">
        <x:font hs:extension="1">
          <x:name val="맑은 고딕"/>
          <x:sz val="12"/>
          <x:color rgb="ff222222"/>
          <hs:size val="100"/>
          <hs:ratio val="100"/>
          <hs:spacing val="0"/>
          <hs:offset val="0"/>
        </x:font>
      </mc:Choice>
      <mc:Fallback>
        <x:font>
          <x:name val="맑은 고딕"/>
          <x:sz val="12"/>
          <x:color rgb="ff222222"/>
        </x:font>
      </mc:Fallback>
    </mc:AlternateContent>
    <mc:AlternateContent xmlns:mc="http://schemas.openxmlformats.org/markup-compatibility/2006">
      <mc:Choice xmlns:hs="http://schemas.haansoft.com/office/spreadsheet/8.0" Requires="hs">
        <x:font hs:extension="1">
          <x:name val="Calibri"/>
          <x:sz val="12"/>
          <x:color rgb="ff000000"/>
          <hs:size val="100"/>
          <hs:ratio val="100"/>
          <hs:spacing val="0"/>
          <hs:offset val="0"/>
        </x:font>
      </mc:Choice>
      <mc:Fallback>
        <x:font>
          <x:name val="Calibri"/>
          <x:sz val="12"/>
          <x:color rgb="ff000000"/>
        </x:font>
      </mc:Fallback>
    </mc:AlternateContent>
    <mc:AlternateContent xmlns:mc="http://schemas.openxmlformats.org/markup-compatibility/2006">
      <mc:Choice xmlns:hs="http://schemas.haansoft.com/office/spreadsheet/8.0" Requires="hs">
        <x:font hs:extension="1">
          <x:name val="Calibri"/>
          <x:sz val="14"/>
          <x:color rgb="ff000000"/>
          <x:b val="1"/>
          <hs:size val="100"/>
          <hs:ratio val="100"/>
          <hs:spacing val="0"/>
          <hs:offset val="0"/>
        </x:font>
      </mc:Choice>
      <mc:Fallback>
        <x:font>
          <x:name val="Calibri"/>
          <x:sz val="14"/>
          <x:color rgb="ff000000"/>
          <x:b val="1"/>
        </x:font>
      </mc:Fallback>
    </mc:AlternateContent>
    <mc:AlternateContent xmlns:mc="http://schemas.openxmlformats.org/markup-compatibility/2006">
      <mc:Choice xmlns:hs="http://schemas.haansoft.com/office/spreadsheet/8.0" Requires="hs">
        <x:font hs:extension="1">
          <x:name val="Calibri"/>
          <x:sz val="11"/>
          <x:color rgb="ff000000"/>
          <x:b val="1"/>
          <hs:size val="100"/>
          <hs:ratio val="100"/>
          <hs:spacing val="0"/>
          <hs:offset val="0"/>
        </x:font>
      </mc:Choice>
      <mc:Fallback>
        <x:font>
          <x:name val="Calibri"/>
          <x:sz val="11"/>
          <x:color rgb="ff000000"/>
          <x:b val="1"/>
        </x:font>
      </mc:Fallback>
    </mc:AlternateContent>
    <mc:AlternateContent xmlns:mc="http://schemas.openxmlformats.org/markup-compatibility/2006">
      <mc:Choice xmlns:hs="http://schemas.haansoft.com/office/spreadsheet/8.0" Requires="hs">
        <x:font hs:extension="1">
          <x:name val="Calibri"/>
          <x:sz val="11"/>
          <x:color rgb="ffffffff"/>
          <x:b val="1"/>
          <x:u/>
          <hs:underlineShape val="solid"/>
          <hs:underlineType val="1"/>
          <hs:underlineColor rgb="ffffffff"/>
          <hs:size val="100"/>
          <hs:ratio val="100"/>
          <hs:spacing val="0"/>
          <hs:offset val="0"/>
        </x:font>
      </mc:Choice>
      <mc:Fallback>
        <x:font>
          <x:name val="Calibri"/>
          <x:sz val="11"/>
          <x:color rgb="ffffffff"/>
          <x:b val="1"/>
          <x:u/>
        </x:font>
      </mc:Fallback>
    </mc:AlternateContent>
    <mc:AlternateContent xmlns:mc="http://schemas.openxmlformats.org/markup-compatibility/2006">
      <mc:Choice xmlns:hs="http://schemas.haansoft.com/office/spreadsheet/8.0" Requires="hs">
        <x:font hs:extension="1">
          <x:name val="Calibri"/>
          <x:sz val="11"/>
          <x:color rgb="ffffffff"/>
          <x:b val="1"/>
          <hs:size val="100"/>
          <hs:ratio val="100"/>
          <hs:spacing val="0"/>
          <hs:offset val="0"/>
        </x:font>
      </mc:Choice>
      <mc:Fallback>
        <x:font>
          <x:name val="Calibri"/>
          <x:sz val="11"/>
          <x:color rgb="ffffffff"/>
          <x:b val="1"/>
        </x:font>
      </mc:Fallback>
    </mc:AlternateContent>
    <mc:AlternateContent xmlns:mc="http://schemas.openxmlformats.org/markup-compatibility/2006">
      <mc:Choice xmlns:hs="http://schemas.haansoft.com/office/spreadsheet/8.0" Requires="hs">
        <x:font hs:extension="1">
          <x:name val="Calibri"/>
          <x:sz val="12"/>
          <x:color rgb="ff000000"/>
          <x:b val="1"/>
          <hs:size val="100"/>
          <hs:ratio val="100"/>
          <hs:spacing val="0"/>
          <hs:offset val="0"/>
        </x:font>
      </mc:Choice>
      <mc:Fallback>
        <x:font>
          <x:name val="Calibri"/>
          <x:sz val="12"/>
          <x:color rgb="ff000000"/>
          <x:b val="1"/>
        </x:font>
      </mc:Fallback>
    </mc:AlternateContent>
    <mc:AlternateContent xmlns:mc="http://schemas.openxmlformats.org/markup-compatibility/2006">
      <mc:Choice xmlns:hs="http://schemas.haansoft.com/office/spreadsheet/8.0" Requires="hs">
        <x:font hs:extension="1">
          <x:name val="맑은 고딕"/>
          <x:sz val="16"/>
          <x:color rgb="ff0070c0"/>
          <x:b val="1"/>
          <hs:size val="100"/>
          <hs:ratio val="100"/>
          <hs:spacing val="0"/>
          <hs:offset val="0"/>
        </x:font>
      </mc:Choice>
      <mc:Fallback>
        <x:font>
          <x:name val="맑은 고딕"/>
          <x:sz val="16"/>
          <x:color rgb="ff0070c0"/>
          <x:b val="1"/>
        </x:font>
      </mc:Fallback>
    </mc:AlternateContent>
    <mc:AlternateContent xmlns:mc="http://schemas.openxmlformats.org/markup-compatibility/2006">
      <mc:Choice xmlns:hs="http://schemas.haansoft.com/office/spreadsheet/8.0" Requires="hs">
        <x:font hs:extension="1">
          <x:name val="맑은 고딕"/>
          <x:sz val="12"/>
          <x:color rgb="ff0070c0"/>
          <x:b val="1"/>
          <hs:size val="100"/>
          <hs:ratio val="100"/>
          <hs:spacing val="0"/>
          <hs:offset val="0"/>
        </x:font>
      </mc:Choice>
      <mc:Fallback>
        <x:font>
          <x:name val="맑은 고딕"/>
          <x:sz val="12"/>
          <x:color rgb="ff0070c0"/>
          <x:b val="1"/>
        </x:font>
      </mc:Fallback>
    </mc:AlternateContent>
    <mc:AlternateContent xmlns:mc="http://schemas.openxmlformats.org/markup-compatibility/2006">
      <mc:Choice xmlns:hs="http://schemas.haansoft.com/office/spreadsheet/8.0" Requires="hs">
        <x:font hs:extension="1">
          <x:name val="맑은 고딕"/>
          <x:sz val="14"/>
          <x:color rgb="ff0070c0"/>
          <x:b val="1"/>
          <hs:size val="100"/>
          <hs:ratio val="100"/>
          <hs:spacing val="0"/>
          <hs:offset val="0"/>
        </x:font>
      </mc:Choice>
      <mc:Fallback>
        <x:font>
          <x:name val="맑은 고딕"/>
          <x:sz val="14"/>
          <x:color rgb="ff0070c0"/>
          <x:b val="1"/>
        </x:font>
      </mc:Fallback>
    </mc:AlternateContent>
    <mc:AlternateContent xmlns:mc="http://schemas.openxmlformats.org/markup-compatibility/2006">
      <mc:Choice xmlns:hs="http://schemas.haansoft.com/office/spreadsheet/8.0" Requires="hs">
        <x:font hs:extension="1">
          <x:name val="맑은 고딕"/>
          <x:sz val="11"/>
          <x:color rgb="ff0070c0"/>
          <hs:size val="100"/>
          <hs:ratio val="100"/>
          <hs:spacing val="0"/>
          <hs:offset val="0"/>
        </x:font>
      </mc:Choice>
      <mc:Fallback>
        <x:font>
          <x:name val="맑은 고딕"/>
          <x:sz val="11"/>
          <x:color rgb="ff0070c0"/>
        </x:font>
      </mc:Fallback>
    </mc:AlternateContent>
    <mc:AlternateContent xmlns:mc="http://schemas.openxmlformats.org/markup-compatibility/2006">
      <mc:Choice xmlns:hs="http://schemas.haansoft.com/office/spreadsheet/8.0" Requires="hs">
        <x:font hs:extension="1">
          <x:name val="맑은 고딕"/>
          <x:sz val="10"/>
          <x:color rgb="ff0070c0"/>
          <x:b val="1"/>
          <hs:size val="100"/>
          <hs:ratio val="100"/>
          <hs:spacing val="0"/>
          <hs:offset val="0"/>
        </x:font>
      </mc:Choice>
      <mc:Fallback>
        <x:font>
          <x:name val="맑은 고딕"/>
          <x:sz val="10"/>
          <x:color rgb="ff0070c0"/>
          <x:b val="1"/>
        </x:font>
      </mc:Fallback>
    </mc:AlternateContent>
    <mc:AlternateContent xmlns:mc="http://schemas.openxmlformats.org/markup-compatibility/2006">
      <mc:Choice xmlns:hs="http://schemas.haansoft.com/office/spreadsheet/8.0" Requires="hs">
        <x:font hs:extension="1">
          <x:name val="맑은 고딕"/>
          <x:sz val="9"/>
          <x:color rgb="ff0070c0"/>
          <hs:size val="100"/>
          <hs:ratio val="100"/>
          <hs:spacing val="0"/>
          <hs:offset val="0"/>
        </x:font>
      </mc:Choice>
      <mc:Fallback>
        <x:font>
          <x:name val="맑은 고딕"/>
          <x:sz val="9"/>
          <x:color rgb="ff0070c0"/>
        </x:font>
      </mc:Fallback>
    </mc:AlternateContent>
    <mc:AlternateContent xmlns:mc="http://schemas.openxmlformats.org/markup-compatibility/2006">
      <mc:Choice xmlns:hs="http://schemas.haansoft.com/office/spreadsheet/8.0" Requires="hs">
        <x:font hs:extension="1">
          <x:name val="맑은 고딕"/>
          <x:sz val="9"/>
          <x:color rgb="ff0070c0"/>
          <x:b val="1"/>
          <hs:size val="100"/>
          <hs:ratio val="100"/>
          <hs:spacing val="0"/>
          <hs:offset val="0"/>
        </x:font>
      </mc:Choice>
      <mc:Fallback>
        <x:font>
          <x:name val="맑은 고딕"/>
          <x:sz val="9"/>
          <x:color rgb="ff0070c0"/>
          <x:b val="1"/>
        </x:font>
      </mc:Fallback>
    </mc:AlternateContent>
    <mc:AlternateContent xmlns:mc="http://schemas.openxmlformats.org/markup-compatibility/2006">
      <mc:Choice xmlns:hs="http://schemas.haansoft.com/office/spreadsheet/8.0" Requires="hs">
        <x:font hs:extension="1">
          <x:name val="Calibri"/>
          <x:sz val="13"/>
          <x:color rgb="ffff8800"/>
          <x:b val="1"/>
          <hs:size val="100"/>
          <hs:ratio val="100"/>
          <hs:spacing val="0"/>
          <hs:offset val="0"/>
        </x:font>
      </mc:Choice>
      <mc:Fallback>
        <x:font>
          <x:name val="Calibri"/>
          <x:sz val="13"/>
          <x:color rgb="ffff8800"/>
          <x:b val="1"/>
        </x:font>
      </mc:Fallback>
    </mc:AlternateContent>
    <mc:AlternateContent xmlns:mc="http://schemas.openxmlformats.org/markup-compatibility/2006">
      <mc:Choice xmlns:hs="http://schemas.haansoft.com/office/spreadsheet/8.0" Requires="hs">
        <x:font hs:extension="1">
          <x:name val="Calibri"/>
          <x:sz val="8"/>
          <x:color rgb="ffff8800"/>
          <hs:size val="100"/>
          <hs:ratio val="100"/>
          <hs:spacing val="0"/>
          <hs:offset val="0"/>
        </x:font>
      </mc:Choice>
      <mc:Fallback>
        <x:font>
          <x:name val="Calibri"/>
          <x:sz val="8"/>
          <x:color rgb="ffff8800"/>
        </x:font>
      </mc:Fallback>
    </mc:AlternateContent>
    <mc:AlternateContent xmlns:mc="http://schemas.openxmlformats.org/markup-compatibility/2006">
      <mc:Choice xmlns:hs="http://schemas.haansoft.com/office/spreadsheet/8.0" Requires="hs">
        <x:font hs:extension="1">
          <x:name val="맑은 고딕"/>
          <x:sz val="9"/>
          <x:color rgb="ff000000"/>
          <x:b val="1"/>
          <hs:size val="100"/>
          <hs:ratio val="100"/>
          <hs:spacing val="0"/>
          <hs:offset val="0"/>
        </x:font>
      </mc:Choice>
      <mc:Fallback>
        <x:font>
          <x:name val="맑은 고딕"/>
          <x:sz val="9"/>
          <x:color rgb="ff000000"/>
          <x:b val="1"/>
        </x:font>
      </mc:Fallback>
    </mc:AlternateContent>
    <mc:AlternateContent xmlns:mc="http://schemas.openxmlformats.org/markup-compatibility/2006">
      <mc:Choice xmlns:hs="http://schemas.haansoft.com/office/spreadsheet/8.0" Requires="hs">
        <x:font hs:extension="1">
          <x:name val="맑은 고딕"/>
          <x:sz val="9"/>
          <x:color rgb="ffff8800"/>
          <hs:size val="100"/>
          <hs:ratio val="100"/>
          <hs:spacing val="0"/>
          <hs:offset val="0"/>
        </x:font>
      </mc:Choice>
      <mc:Fallback>
        <x:font>
          <x:name val="맑은 고딕"/>
          <x:sz val="9"/>
          <x:color rgb="ffff8800"/>
        </x:font>
      </mc:Fallback>
    </mc:AlternateContent>
    <mc:AlternateContent xmlns:mc="http://schemas.openxmlformats.org/markup-compatibility/2006">
      <mc:Choice xmlns:hs="http://schemas.haansoft.com/office/spreadsheet/8.0" Requires="hs">
        <x:font hs:extension="1">
          <x:name val="Calibri"/>
          <x:sz val="9"/>
          <x:color rgb="ffff8800"/>
          <hs:size val="100"/>
          <hs:ratio val="100"/>
          <hs:spacing val="0"/>
          <hs:offset val="0"/>
        </x:font>
      </mc:Choice>
      <mc:Fallback>
        <x:font>
          <x:name val="Calibri"/>
          <x:sz val="9"/>
          <x:color rgb="ffff8800"/>
        </x:font>
      </mc:Fallback>
    </mc:AlternateContent>
    <mc:AlternateContent xmlns:mc="http://schemas.openxmlformats.org/markup-compatibility/2006">
      <mc:Choice xmlns:hs="http://schemas.haansoft.com/office/spreadsheet/8.0" Requires="hs">
        <x:font hs:extension="1">
          <x:name val="Calibri"/>
          <x:sz val="11"/>
          <x:color rgb="ffff0000"/>
          <hs:size val="100"/>
          <hs:ratio val="100"/>
          <hs:spacing val="0"/>
          <hs:offset val="0"/>
        </x:font>
      </mc:Choice>
      <mc:Fallback>
        <x:font>
          <x:name val="Calibri"/>
          <x:sz val="11"/>
          <x:color rgb="ffff0000"/>
        </x:font>
      </mc:Fallback>
    </mc:AlternateContent>
    <mc:AlternateContent xmlns:mc="http://schemas.openxmlformats.org/markup-compatibility/2006">
      <mc:Choice xmlns:hs="http://schemas.haansoft.com/office/spreadsheet/8.0" Requires="hs">
        <x:font hs:extension="1">
          <x:name val="Calibri"/>
          <x:sz val="18"/>
          <x:color rgb="ff000000"/>
          <x:b val="1"/>
          <hs:size val="100"/>
          <hs:ratio val="100"/>
          <hs:spacing val="0"/>
          <hs:offset val="0"/>
        </x:font>
      </mc:Choice>
      <mc:Fallback>
        <x:font>
          <x:name val="Calibri"/>
          <x:sz val="18"/>
          <x:color rgb="ff000000"/>
          <x:b val="1"/>
        </x:font>
      </mc:Fallback>
    </mc:AlternateContent>
    <mc:AlternateContent xmlns:mc="http://schemas.openxmlformats.org/markup-compatibility/2006">
      <mc:Choice xmlns:hs="http://schemas.haansoft.com/office/spreadsheet/8.0" Requires="hs">
        <x:font hs:extension="1">
          <x:name val="Calibri"/>
          <x:sz val="11"/>
          <x:color rgb="ff333333"/>
          <hs:size val="100"/>
          <hs:ratio val="100"/>
          <hs:spacing val="0"/>
          <hs:offset val="0"/>
        </x:font>
      </mc:Choice>
      <mc:Fallback>
        <x:font>
          <x:name val="Calibri"/>
          <x:sz val="11"/>
          <x:color rgb="ff333333"/>
        </x:font>
      </mc:Fallback>
    </mc:AlternateContent>
    <mc:AlternateContent xmlns:mc="http://schemas.openxmlformats.org/markup-compatibility/2006">
      <mc:Choice xmlns:hs="http://schemas.haansoft.com/office/spreadsheet/8.0" Requires="hs">
        <x:font hs:extension="1">
          <x:name val="Calibri"/>
          <x:sz val="14"/>
          <x:color rgb="ffff8800"/>
          <x:b val="1"/>
          <hs:size val="100"/>
          <hs:ratio val="100"/>
          <hs:spacing val="0"/>
          <hs:offset val="0"/>
        </x:font>
      </mc:Choice>
      <mc:Fallback>
        <x:font>
          <x:name val="Calibri"/>
          <x:sz val="14"/>
          <x:color rgb="ffff8800"/>
          <x:b val="1"/>
        </x:font>
      </mc:Fallback>
    </mc:AlternateContent>
    <mc:AlternateContent xmlns:mc="http://schemas.openxmlformats.org/markup-compatibility/2006">
      <mc:Choice xmlns:hs="http://schemas.haansoft.com/office/spreadsheet/8.0" Requires="hs">
        <x:font hs:extension="1">
          <x:name val="Calibri"/>
          <x:sz val="10"/>
          <x:color rgb="ff0563c1"/>
          <x:b val="1"/>
          <hs:size val="100"/>
          <hs:ratio val="100"/>
          <hs:spacing val="0"/>
          <hs:offset val="0"/>
        </x:font>
      </mc:Choice>
      <mc:Fallback>
        <x:font>
          <x:name val="Calibri"/>
          <x:sz val="10"/>
          <x:color rgb="ff0563c1"/>
          <x:b val="1"/>
        </x:font>
      </mc:Fallback>
    </mc:AlternateContent>
    <mc:AlternateContent xmlns:mc="http://schemas.openxmlformats.org/markup-compatibility/2006">
      <mc:Choice xmlns:hs="http://schemas.haansoft.com/office/spreadsheet/8.0" Requires="hs">
        <x:font hs:extension="1">
          <x:name val="Calibri"/>
          <x:sz val="8"/>
          <x:color rgb="ffffffff"/>
          <hs:size val="100"/>
          <hs:ratio val="100"/>
          <hs:spacing val="0"/>
          <hs:offset val="0"/>
        </x:font>
      </mc:Choice>
      <mc:Fallback>
        <x:font>
          <x:name val="Calibri"/>
          <x:sz val="8"/>
          <x:color rgb="ffffffff"/>
        </x:font>
      </mc:Fallback>
    </mc:AlternateContent>
    <mc:AlternateContent xmlns:mc="http://schemas.openxmlformats.org/markup-compatibility/2006">
      <mc:Choice xmlns:hs="http://schemas.haansoft.com/office/spreadsheet/8.0" Requires="hs">
        <x:font hs:extension="1">
          <x:name val="Calibri"/>
          <x:sz val="14"/>
          <x:color rgb="ff000000"/>
          <hs:size val="100"/>
          <hs:ratio val="100"/>
          <hs:spacing val="0"/>
          <hs:offset val="0"/>
        </x:font>
      </mc:Choice>
      <mc:Fallback>
        <x:font>
          <x:name val="Calibri"/>
          <x:sz val="14"/>
          <x:color rgb="ff000000"/>
        </x:font>
      </mc:Fallback>
    </mc:AlternateContent>
    <mc:AlternateContent xmlns:mc="http://schemas.openxmlformats.org/markup-compatibility/2006">
      <mc:Choice xmlns:hs="http://schemas.haansoft.com/office/spreadsheet/8.0" Requires="hs">
        <x:font hs:extension="1">
          <x:name val="Malgun Gothic"/>
          <x:sz val="10"/>
          <x:color rgb="ff0563c1"/>
          <x:b val="1"/>
          <hs:size val="100"/>
          <hs:ratio val="100"/>
          <hs:spacing val="0"/>
          <hs:offset val="0"/>
        </x:font>
      </mc:Choice>
      <mc:Fallback>
        <x:font>
          <x:name val="Malgun Gothic"/>
          <x:sz val="10"/>
          <x:color rgb="ff0563c1"/>
          <x:b val="1"/>
        </x:font>
      </mc:Fallback>
    </mc:AlternateContent>
    <mc:AlternateContent xmlns:mc="http://schemas.openxmlformats.org/markup-compatibility/2006">
      <mc:Choice xmlns:hs="http://schemas.haansoft.com/office/spreadsheet/8.0" Requires="hs">
        <x:font hs:extension="1">
          <x:name val="Calibri"/>
          <x:sz val="9"/>
          <x:color rgb="ffff8800"/>
          <x:b val="1"/>
          <hs:size val="100"/>
          <hs:ratio val="100"/>
          <hs:spacing val="0"/>
          <hs:offset val="0"/>
        </x:font>
      </mc:Choice>
      <mc:Fallback>
        <x:font>
          <x:name val="Calibri"/>
          <x:sz val="9"/>
          <x:color rgb="ffff8800"/>
          <x:b val="1"/>
        </x:font>
      </mc:Fallback>
    </mc:AlternateContent>
    <mc:AlternateContent xmlns:mc="http://schemas.openxmlformats.org/markup-compatibility/2006">
      <mc:Choice xmlns:hs="http://schemas.haansoft.com/office/spreadsheet/8.0" Requires="hs">
        <x:font hs:extension="1">
          <x:name val="돋움"/>
          <x:sz val="9"/>
          <x:color rgb="ffff8800"/>
          <x:b val="1"/>
          <hs:size val="100"/>
          <hs:ratio val="100"/>
          <hs:spacing val="0"/>
          <hs:offset val="0"/>
        </x:font>
      </mc:Choice>
      <mc:Fallback>
        <x:font>
          <x:name val="돋움"/>
          <x:sz val="9"/>
          <x:color rgb="ffff8800"/>
          <x:b val="1"/>
        </x:font>
      </mc:Fallback>
    </mc:AlternateContent>
  </x:fonts>
  <x:fills count="23">
    <x:fill>
      <x:patternFill patternType="none"/>
    </x:fill>
    <x:fill>
      <x:patternFill patternType="gray125"/>
    </x:fill>
    <x:fill>
      <x:patternFill patternType="solid">
        <x:fgColor rgb="ff4472c4"/>
        <x:bgColor indexed="64"/>
      </x:patternFill>
    </x:fill>
    <x:fill>
      <x:patternFill patternType="solid">
        <x:fgColor rgb="ffffffff"/>
        <x:bgColor indexed="64"/>
      </x:patternFill>
    </x:fill>
    <x:fill>
      <x:patternFill patternType="solid">
        <x:fgColor rgb="ffd9d9d9"/>
        <x:bgColor indexed="64"/>
      </x:patternFill>
    </x:fill>
    <x:fill>
      <x:patternFill patternType="solid">
        <x:fgColor rgb="ffeaeaea"/>
        <x:bgColor indexed="64"/>
      </x:patternFill>
    </x:fill>
    <x:fill>
      <x:patternFill patternType="solid">
        <x:fgColor rgb="ff00b0f0"/>
        <x:bgColor indexed="64"/>
      </x:patternFill>
    </x:fill>
    <x:fill>
      <x:patternFill patternType="solid">
        <x:fgColor rgb="ffddebf7"/>
        <x:bgColor indexed="64"/>
      </x:patternFill>
    </x:fill>
    <x:fill>
      <x:patternFill patternType="solid">
        <x:fgColor rgb="fff2f2f2"/>
        <x:bgColor indexed="64"/>
      </x:patternFill>
    </x:fill>
    <x:fill>
      <x:patternFill patternType="solid">
        <x:fgColor rgb="ff00a44a"/>
        <x:bgColor indexed="64"/>
      </x:patternFill>
    </x:fill>
    <x:fill>
      <x:patternFill patternType="solid">
        <x:fgColor rgb="ffff6600"/>
        <x:bgColor indexed="64"/>
      </x:patternFill>
    </x:fill>
    <x:fill>
      <x:patternFill patternType="solid">
        <x:fgColor rgb="ff198cff"/>
        <x:bgColor indexed="64"/>
      </x:patternFill>
    </x:fill>
    <x:fill>
      <x:patternFill patternType="solid">
        <x:fgColor rgb="ffffc000"/>
        <x:bgColor indexed="64"/>
      </x:patternFill>
    </x:fill>
    <x:fill>
      <x:patternFill patternType="solid">
        <x:fgColor rgb="ffa6a6a6"/>
        <x:bgColor indexed="64"/>
      </x:patternFill>
    </x:fill>
    <x:fill>
      <x:patternFill patternType="solid">
        <x:fgColor rgb="ff3399ff"/>
        <x:bgColor indexed="64"/>
      </x:patternFill>
    </x:fill>
    <x:fill>
      <x:patternFill patternType="solid">
        <x:fgColor rgb="ffe7e6e6"/>
        <x:bgColor indexed="64"/>
      </x:patternFill>
    </x:fill>
    <x:fill>
      <x:patternFill patternType="solid">
        <x:fgColor rgb="fff8f8f8"/>
        <x:bgColor indexed="64"/>
      </x:patternFill>
    </x:fill>
    <x:fill>
      <x:patternFill patternType="solid">
        <x:fgColor rgb="ffff8800"/>
        <x:bgColor indexed="64"/>
      </x:patternFill>
    </x:fill>
    <x:fill>
      <x:patternFill patternType="solid">
        <x:fgColor rgb="ffff0000"/>
        <x:bgColor indexed="64"/>
      </x:patternFill>
    </x:fill>
    <x:fill>
      <x:patternFill patternType="solid">
        <x:fgColor rgb="ff00cc00"/>
        <x:bgColor indexed="64"/>
      </x:patternFill>
    </x:fill>
    <x:fill>
      <x:patternFill patternType="solid">
        <x:fgColor rgb="ffd7dde4"/>
        <x:bgColor indexed="64"/>
      </x:patternFill>
    </x:fill>
    <x:fill>
      <x:patternFill patternType="solid">
        <x:fgColor rgb="ff6600ff"/>
        <x:bgColor indexed="64"/>
      </x:patternFill>
    </x:fill>
    <x:fill>
      <x:patternFill patternType="solid">
        <x:fgColor rgb="ff000000"/>
        <x:bgColor indexed="64"/>
      </x:patternFill>
    </x:fill>
  </x:fills>
  <x:borders count="24">
    <x:border>
      <x:left>
        <x:color indexed="64"/>
      </x:left>
      <x:right>
        <x:color indexed="64"/>
      </x:right>
      <x:top>
        <x:color indexed="64"/>
      </x:top>
      <x:bottom>
        <x:color indexed="64"/>
      </x:bottom>
    </x:border>
    <x:border>
      <x:left>
        <x:color indexed="64"/>
      </x:left>
      <x:right>
        <x:color indexed="64"/>
      </x:right>
      <x:top style="thin">
        <x:color rgb="ffd9d9d9"/>
      </x:top>
      <x:bottom>
        <x:color indexed="64"/>
      </x:bottom>
    </x:border>
    <x:border>
      <x:left style="thin">
        <x:color indexed="64"/>
      </x:left>
      <x:right style="thin">
        <x:color indexed="64"/>
      </x:right>
      <x:top style="thin">
        <x:color indexed="64"/>
      </x:top>
      <x:bottom style="thin">
        <x:color indexed="64"/>
      </x:bottom>
    </x:border>
    <x:border>
      <x:left>
        <x:color indexed="64"/>
      </x:left>
      <x:right>
        <x:color indexed="64"/>
      </x:right>
      <x:top>
        <x:color indexed="64"/>
      </x:top>
      <x:bottom style="thin">
        <x:color rgb="ffd9d9d9"/>
      </x:bottom>
    </x:border>
    <x:border>
      <x:left>
        <x:color indexed="64"/>
      </x:left>
      <x:right style="thin">
        <x:color rgb="ffffffff"/>
      </x:right>
      <x:top>
        <x:color indexed="64"/>
      </x:top>
      <x:bottom>
        <x:color indexed="64"/>
      </x:bottom>
    </x:border>
    <x:border>
      <x:left style="thin">
        <x:color rgb="ffd9d9d9"/>
      </x:left>
      <x:right style="thin">
        <x:color rgb="ffd9d9d9"/>
      </x:right>
      <x:top style="thin">
        <x:color rgb="ffd9d9d9"/>
      </x:top>
      <x:bottom style="thin">
        <x:color rgb="ffd9d9d9"/>
      </x:bottom>
    </x:border>
    <x:border>
      <x:left>
        <x:color indexed="64"/>
      </x:left>
      <x:right>
        <x:color indexed="64"/>
      </x:right>
      <x:top>
        <x:color indexed="64"/>
      </x:top>
      <x:bottom style="thin">
        <x:color indexed="64"/>
      </x:bottom>
    </x:border>
    <x:border>
      <x:left style="thin">
        <x:color rgb="ffffffff"/>
      </x:left>
      <x:right style="thin">
        <x:color rgb="ffffffff"/>
      </x:right>
      <x:top>
        <x:color indexed="64"/>
      </x:top>
      <x:bottom>
        <x:color indexed="64"/>
      </x:bottom>
    </x:border>
    <x:border>
      <x:left>
        <x:color indexed="64"/>
      </x:left>
      <x:right>
        <x:color indexed="64"/>
      </x:right>
      <x:top>
        <x:color indexed="64"/>
      </x:top>
      <x:bottom style="thick">
        <x:color rgb="ffffffff"/>
      </x:bottom>
    </x:border>
    <x:border>
      <x:left>
        <x:color indexed="64"/>
      </x:left>
      <x:right>
        <x:color indexed="64"/>
      </x:right>
      <x:top style="thin">
        <x:color indexed="64"/>
      </x:top>
      <x:bottom style="thin">
        <x:color indexed="64"/>
      </x:bottom>
    </x:border>
    <x:border>
      <x:left>
        <x:color indexed="64"/>
      </x:left>
      <x:right>
        <x:color indexed="64"/>
      </x:right>
      <x:top style="thin">
        <x:color rgb="ffffffff"/>
      </x:top>
      <x:bottom style="thin">
        <x:color rgb="ffffffff"/>
      </x:bottom>
    </x:border>
    <x:border>
      <x:left>
        <x:color indexed="64"/>
      </x:left>
      <x:right>
        <x:color indexed="64"/>
      </x:right>
      <x:top style="thin">
        <x:color rgb="ff7f7f7f"/>
      </x:top>
      <x:bottom>
        <x:color indexed="64"/>
      </x:bottom>
    </x:border>
    <x:border>
      <x:left style="thin">
        <x:color rgb="ffffffff"/>
      </x:left>
      <x:right style="thin">
        <x:color rgb="fff2f2f2"/>
      </x:right>
      <x:top>
        <x:color indexed="64"/>
      </x:top>
      <x:bottom>
        <x:color indexed="64"/>
      </x:bottom>
    </x:border>
    <x:border>
      <x:left style="thin">
        <x:color rgb="fff2f2f2"/>
      </x:left>
      <x:right style="thin">
        <x:color rgb="fff2f2f2"/>
      </x:right>
      <x:top>
        <x:color indexed="64"/>
      </x:top>
      <x:bottom>
        <x:color indexed="64"/>
      </x:bottom>
    </x:border>
    <x:border>
      <x:left>
        <x:color indexed="64"/>
      </x:left>
      <x:right>
        <x:color indexed="64"/>
      </x:right>
      <x:top>
        <x:color indexed="64"/>
      </x:top>
      <x:bottom style="thin">
        <x:color rgb="ffffffff"/>
      </x:bottom>
    </x:border>
    <x:border>
      <x:left>
        <x:color indexed="64"/>
      </x:left>
      <x:right style="thin">
        <x:color rgb="ffffffff"/>
      </x:right>
      <x:top style="thin">
        <x:color rgb="ffffffff"/>
      </x:top>
      <x:bottom style="thin">
        <x:color rgb="ffffffff"/>
      </x:bottom>
    </x:border>
    <x:border>
      <x:left style="thin">
        <x:color rgb="ffffffff"/>
      </x:left>
      <x:right style="thin">
        <x:color rgb="ffffffff"/>
      </x:right>
      <x:top style="thin">
        <x:color rgb="ffffffff"/>
      </x:top>
      <x:bottom style="thin">
        <x:color rgb="ffffffff"/>
      </x:bottom>
    </x:border>
    <x:border>
      <x:left style="thin">
        <x:color rgb="ffd9d9d9"/>
      </x:left>
      <x:right style="thin">
        <x:color rgb="ffd9d9d9"/>
      </x:right>
      <x:top>
        <x:color indexed="64"/>
      </x:top>
      <x:bottom style="thin">
        <x:color rgb="ffd9d9d9"/>
      </x:bottom>
    </x:border>
    <x:border>
      <x:left style="thin">
        <x:color rgb="fff2f2f2"/>
      </x:left>
      <x:right style="thin">
        <x:color rgb="ffffffff"/>
      </x:right>
      <x:top>
        <x:color indexed="64"/>
      </x:top>
      <x:bottom>
        <x:color indexed="64"/>
      </x:bottom>
    </x:border>
    <x:border>
      <x:left style="thin">
        <x:color rgb="ffffffff"/>
      </x:left>
      <x:right>
        <x:color indexed="64"/>
      </x:right>
      <x:top>
        <x:color indexed="64"/>
      </x:top>
      <x:bottom>
        <x:color indexed="64"/>
      </x:bottom>
    </x:border>
    <x:border>
      <x:left style="thin">
        <x:color rgb="ff7f7f7f"/>
      </x:left>
      <x:right>
        <x:color indexed="64"/>
      </x:right>
      <x:top style="thin">
        <x:color rgb="ff7f7f7f"/>
      </x:top>
      <x:bottom>
        <x:color indexed="64"/>
      </x:bottom>
    </x:border>
    <x:border>
      <x:left style="thin">
        <x:color rgb="ff7f7f7f"/>
      </x:left>
      <x:right>
        <x:color indexed="64"/>
      </x:right>
      <x:top>
        <x:color indexed="64"/>
      </x:top>
      <x:bottom style="thin">
        <x:color rgb="ff7f7f7f"/>
      </x:bottom>
    </x:border>
    <x:border>
      <x:left>
        <x:color indexed="64"/>
      </x:left>
      <x:right>
        <x:color indexed="64"/>
      </x:right>
      <x:top>
        <x:color indexed="64"/>
      </x:top>
      <x:bottom style="thin">
        <x:color rgb="ff7f7f7f"/>
      </x:bottom>
    </x:border>
    <x:border>
      <x:left style="thin">
        <x:color indexed="64"/>
      </x:left>
      <x:right style="thin">
        <x:color indexed="64"/>
      </x:right>
      <x:top style="thin">
        <x:color indexed="64"/>
      </x:top>
      <x:bottom>
        <x:color indexed="64"/>
      </x:bottom>
    </x:border>
  </x:borders>
  <x:cellStyleXfs count="7">
    <x:xf numFmtId="0" fontId="0" fillId="0" borderId="0">
      <x:alignment horizontal="general" vertical="center"/>
    </x:xf>
    <x:xf numFmtId="9" fontId="0" fillId="0" borderId="0" applyFont="1" applyFill="1" applyBorder="1" applyAlignment="1" applyProtection="1">
      <x:alignment horizontal="general" vertical="center"/>
    </x:xf>
    <x:xf numFmtId="0" fontId="6" fillId="2" borderId="0">
      <x:alignment horizontal="general" vertical="center"/>
    </x:xf>
    <x:xf numFmtId="0" fontId="7" fillId="0" borderId="0">
      <x:alignment horizontal="general" vertical="bottom"/>
    </x:xf>
    <x:xf numFmtId="9" fontId="8" fillId="0" borderId="0">
      <x:alignment horizontal="general" vertical="center"/>
    </x:xf>
    <x:xf numFmtId="0" fontId="8" fillId="0" borderId="0">
      <x:alignment horizontal="general" vertical="bottom"/>
    </x:xf>
    <x:xf numFmtId="0" fontId="0" fillId="0" borderId="0">
      <x:alignment horizontal="general" vertical="bottom"/>
    </x:xf>
  </x:cellStyleXfs>
  <x:cellXfs count="299">
    <x:xf numFmtId="0" fontId="0" fillId="0" borderId="0" xfId="0" applyNumberFormat="1">
      <x:alignment horizontal="general" vertical="center"/>
    </x:xf>
    <x:xf numFmtId="0" fontId="0" fillId="0" borderId="0" xfId="0" applyNumberFormat="1">
      <x:alignment horizontal="general" vertical="bottom"/>
    </x:xf>
    <x:xf numFmtId="0" fontId="9" fillId="0" borderId="0" xfId="2" applyNumberFormat="1" applyFont="1" applyFill="1" applyBorder="1" applyAlignment="1">
      <x:alignment horizontal="general" vertical="center"/>
    </x:xf>
    <x:xf numFmtId="0" fontId="10" fillId="0" borderId="0" xfId="2" applyNumberFormat="1" applyFont="1" applyFill="1" applyBorder="1" applyAlignment="1">
      <x:alignment horizontal="general" vertical="center"/>
    </x:xf>
    <x:xf numFmtId="14" fontId="11" fillId="0" borderId="0" xfId="5" applyNumberFormat="1" applyFont="1" applyFill="1" applyBorder="1" applyAlignment="1" applyProtection="1">
      <x:alignment horizontal="general" vertical="center"/>
    </x:xf>
    <x:xf numFmtId="14" fontId="12" fillId="0" borderId="0" xfId="5" applyNumberFormat="1" applyFont="1" applyFill="1" applyBorder="1" applyAlignment="1" applyProtection="1">
      <x:alignment horizontal="general" vertical="center"/>
    </x:xf>
    <x:xf numFmtId="14" fontId="13" fillId="3" borderId="0" xfId="5" quotePrefix="1" applyNumberFormat="1" applyFont="1" applyFill="1" applyBorder="1" applyProtection="1">
      <x:alignment horizontal="general" vertical="bottom"/>
    </x:xf>
    <x:xf numFmtId="14" fontId="13" fillId="3" borderId="0" xfId="5" applyNumberFormat="1" applyFont="1" applyFill="1" applyBorder="1" applyAlignment="1" applyProtection="1">
      <x:alignment horizontal="general" vertical="center"/>
    </x:xf>
    <x:xf numFmtId="0" fontId="13" fillId="3" borderId="0" xfId="5" applyNumberFormat="1" applyFont="1" applyFill="1" applyBorder="1" applyProtection="1">
      <x:alignment horizontal="general" vertical="bottom"/>
    </x:xf>
    <x:xf numFmtId="164" fontId="14" fillId="3" borderId="0" xfId="5" applyNumberFormat="1" applyFont="1" applyFill="1" applyBorder="1" applyAlignment="1" applyProtection="1">
      <x:alignment horizontal="general" vertical="center"/>
      <x:protection locked="0"/>
    </x:xf>
    <x:xf numFmtId="14" fontId="15" fillId="3" borderId="0" xfId="5" applyNumberFormat="1" applyFont="1" applyFill="1" applyBorder="1" applyAlignment="1" applyProtection="1">
      <x:alignment horizontal="general" vertical="center"/>
    </x:xf>
    <x:xf numFmtId="14" fontId="13" fillId="0" borderId="1" xfId="5" applyNumberFormat="1" applyFont="1" applyFill="1" applyBorder="1" applyAlignment="1" applyProtection="1">
      <x:alignment horizontal="general" vertical="top"/>
      <x:protection locked="0"/>
    </x:xf>
    <x:xf numFmtId="14" fontId="13" fillId="0" borderId="1" xfId="5" applyNumberFormat="1" applyFont="1" applyFill="1" applyBorder="1" applyAlignment="1" applyProtection="1">
      <x:alignment horizontal="general" vertical="center"/>
      <x:protection locked="0"/>
    </x:xf>
    <x:xf numFmtId="0" fontId="13" fillId="0" borderId="1" xfId="5" applyNumberFormat="1" applyFont="1" applyFill="1" applyBorder="1" applyAlignment="1" applyProtection="1">
      <x:alignment horizontal="general" vertical="top"/>
      <x:protection locked="0"/>
    </x:xf>
    <x:xf numFmtId="0" fontId="13" fillId="0" borderId="1" xfId="5" applyNumberFormat="1" applyFont="1" applyFill="1" applyBorder="1" applyAlignment="1" applyProtection="1">
      <x:alignment horizontal="general" vertical="center" wrapText="1"/>
      <x:protection locked="0"/>
    </x:xf>
    <x:xf numFmtId="0" fontId="13" fillId="0" borderId="1" xfId="5" applyNumberFormat="1" applyFont="1" applyFill="1" applyBorder="1" applyAlignment="1" applyProtection="1">
      <x:alignment horizontal="general" vertical="center"/>
      <x:protection locked="0"/>
    </x:xf>
    <x:xf numFmtId="0" fontId="13" fillId="0" borderId="0"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14" fontId="16" fillId="0" borderId="0"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6" fillId="0" borderId="0" xfId="5" applyNumberFormat="1" applyFont="1" applyFill="1" applyBorder="1" applyAlignment="1" applyProtection="1">
          <x:alignment horizontal="right" vertical="top"/>
          <x:protection locked="0"/>
        </x:xf>
      </mc:Fallback>
    </mc:AlternateContent>
    <x:xf numFmtId="167" fontId="13" fillId="4" borderId="2" xfId="5"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6" fillId="0" borderId="3"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6" fillId="0" borderId="3" xfId="5" applyNumberFormat="1" applyFont="1" applyFill="1" applyBorder="1" applyAlignment="1" applyProtection="1">
          <x:alignment horizontal="right" vertical="top"/>
          <x:protection locked="0"/>
        </x:xf>
      </mc:Fallback>
    </mc:AlternateContent>
    <x:xf numFmtId="14" fontId="13" fillId="0" borderId="3" xfId="5" applyNumberFormat="1" applyFont="1" applyFill="1" applyBorder="1" applyAlignment="1" applyProtection="1">
      <x:alignment horizontal="general" vertical="center"/>
      <x:protection locked="0"/>
    </x:xf>
    <x:xf numFmtId="0" fontId="13" fillId="0" borderId="3" xfId="5" applyNumberFormat="1" applyFont="1" applyFill="1" applyBorder="1" applyAlignment="1" applyProtection="1">
      <x:alignment horizontal="general" vertical="top"/>
      <x:protection locked="0"/>
    </x:xf>
    <x:xf numFmtId="0" fontId="13" fillId="0" borderId="3" xfId="5" applyNumberFormat="1" applyFont="1" applyFill="1" applyBorder="1" applyAlignment="1" applyProtection="1">
      <x:alignment horizontal="general" vertical="center"/>
      <x:protection locked="0"/>
    </x:xf>
    <x:xf numFmtId="14" fontId="16"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Alignment="1" applyProtection="1">
      <x:alignment horizontal="general" vertical="center"/>
      <x:protection locked="0"/>
    </x:xf>
    <x:xf numFmtId="0" fontId="13" fillId="0" borderId="1" xfId="5" applyNumberFormat="1" applyFont="1" applyFill="1" applyBorder="1" applyAlignment="1" applyProtection="1">
      <x:alignment horizontal="general" vertical="center" wrapText="1"/>
      <x:protection locked="0"/>
    </x:xf>
    <x:xf numFmtId="14" fontId="13" fillId="0" borderId="0" xfId="5" applyNumberFormat="1" applyFont="1" applyFill="1" applyBorder="1" applyAlignment="1" applyProtection="1">
      <x:alignment horizontal="general" vertical="top"/>
      <x:protection locked="0"/>
    </x:xf>
    <x:xf numFmtId="14" fontId="16" fillId="0" borderId="3" xfId="5" applyNumberFormat="1" applyFont="1" applyFill="1" applyBorder="1" applyAlignment="1" applyProtection="1">
      <x:alignment horizontal="general" vertical="top"/>
      <x:protection locked="0"/>
    </x:xf>
    <x:xf numFmtId="0" fontId="13" fillId="0" borderId="3" xfId="5" applyNumberFormat="1" applyFont="1" applyFill="1" applyBorder="1" applyAlignment="1" applyProtection="1">
      <x:alignment horizontal="general" vertical="center" wrapText="1"/>
      <x:protection locked="0"/>
    </x:xf>
    <x:xf numFmtId="14" fontId="16" fillId="0" borderId="1" xfId="5" applyNumberFormat="1" applyFont="1" applyFill="1" applyBorder="1" applyAlignment="1" applyProtection="1">
      <x:alignment horizontal="general" vertical="center" wrapText="1"/>
      <x:protection locked="0"/>
    </x:xf>
    <mc:AlternateContent xmlns:mc="http://schemas.openxmlformats.org/markup-compatibility/2006">
      <mc:Choice xmlns:hs="http://schemas.haansoft.com/office/spreadsheet/8.0" Requires="hs">
        <x:xf numFmtId="14" fontId="16" fillId="0" borderId="0" xfId="5" applyNumberFormat="1" applyFont="1" applyFill="1" applyBorder="1" applyAlignment="1" applyProtection="1" hs:applyExtension="1">
          <x:alignment horizontal="right" vertical="center" wrapText="1"/>
          <x:protection locked="0"/>
          <hs:parashape hs:lineSpacingType="betweenLines" hs:lineSpacing="75" hs:breakNonLatinWord="breakWord" hs:breakLatinWord="keepWord" hs:condense="0" hs:textAlignment="baseLine"/>
        </x:xf>
      </mc:Choice>
      <mc:Fallback>
        <x:xf numFmtId="14" fontId="16" fillId="0" borderId="0" xfId="5" applyNumberFormat="1" applyFont="1" applyFill="1" applyBorder="1" applyAlignment="1" applyProtection="1">
          <x:alignment horizontal="right" vertical="center" wrapText="1"/>
          <x:protection locked="0"/>
        </x:xf>
      </mc:Fallback>
    </mc:AlternateContent>
    <x:xf numFmtId="14" fontId="16" fillId="0" borderId="3" xfId="5" applyNumberFormat="1" applyFont="1" applyFill="1" applyBorder="1" applyAlignment="1" applyProtection="1">
      <x:alignment horizontal="general" vertical="center" wrapText="1"/>
      <x:protection locked="0"/>
    </x:xf>
    <x:xf numFmtId="0" fontId="13" fillId="0" borderId="3" xfId="5" applyNumberFormat="1" applyFont="1" applyFill="1" applyBorder="1" applyProtection="1">
      <x:alignment horizontal="general" vertical="bottom"/>
      <x:protection locked="0"/>
    </x:xf>
    <x:xf numFmtId="0" fontId="13" fillId="0" borderId="0" xfId="5" applyNumberFormat="1" applyFont="1" applyFill="1" applyBorder="1" applyProtection="1">
      <x:alignment horizontal="general" vertical="bottom"/>
      <x:protection locked="0"/>
    </x:xf>
    <x:xf numFmtId="14" fontId="13" fillId="0" borderId="0" xfId="5" applyNumberFormat="1" applyFont="1" applyFill="1" applyBorder="1" applyProtection="1">
      <x:alignment horizontal="general" vertical="bottom"/>
      <x:protection locked="0"/>
    </x:xf>
    <x:xf numFmtId="14" fontId="13" fillId="0" borderId="1" xfId="5" applyNumberFormat="1" applyFont="1" applyFill="1" applyBorder="1" applyAlignment="1" applyProtection="1">
      <x:alignment horizontal="general" vertical="center"/>
      <x:protection locked="0"/>
    </x:xf>
    <x:xf numFmtId="0" fontId="13" fillId="0" borderId="1" xfId="5" applyNumberFormat="1" applyFont="1" applyFill="1" applyBorder="1" applyProtection="1">
      <x:alignment horizontal="general" vertical="bottom"/>
      <x:protection locked="0"/>
    </x:xf>
    <x:xf numFmtId="14" fontId="13" fillId="0" borderId="3" xfId="5" applyNumberFormat="1" applyFont="1" applyFill="1" applyBorder="1" applyAlignment="1" applyProtection="1">
      <x:alignment horizontal="general" vertical="center"/>
      <x:protection locked="0"/>
    </x:xf>
    <x:xf numFmtId="0" fontId="13" fillId="0" borderId="3" xfId="5" applyNumberFormat="1" applyFont="1" applyFill="1" applyBorder="1" applyAlignment="1" applyProtection="1">
      <x:alignment horizontal="general" vertical="top"/>
      <x:protection locked="0"/>
    </x:xf>
    <x:xf numFmtId="14" fontId="16" fillId="0" borderId="1" xfId="5" applyNumberFormat="1" applyFont="1" applyFill="1" applyBorder="1" applyProtection="1">
      <x:alignment horizontal="general" vertical="bottom"/>
      <x:protection locked="0"/>
    </x:xf>
    <x:xf numFmtId="10" fontId="13" fillId="4" borderId="2" xfId="4"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6" fillId="0" borderId="3"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6" fillId="0" borderId="3"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6" fillId="0" borderId="1"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6" fillId="0" borderId="1"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6" fillId="0" borderId="3"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6" fillId="0" borderId="3" xfId="5" applyNumberFormat="1" applyFont="1" applyFill="1" applyBorder="1" applyAlignment="1" applyProtection="1">
          <x:alignment horizontal="right" vertical="top"/>
          <x:protection locked="0"/>
        </x:xf>
      </mc:Fallback>
    </mc:AlternateContent>
    <x:xf numFmtId="14" fontId="13" fillId="0" borderId="3" xfId="5" applyNumberFormat="1" applyFont="1" applyFill="1" applyBorder="1" applyAlignment="1" applyProtection="1">
      <x:alignment horizontal="general" vertical="center"/>
      <x:protection locked="0"/>
    </x:xf>
    <x:xf numFmtId="0" fontId="13" fillId="0" borderId="3" xfId="5" applyNumberFormat="1" applyFont="1" applyFill="1" applyBorder="1" applyAlignment="1" applyProtection="1">
      <x:alignment horizontal="general" vertical="top"/>
      <x:protection locked="0"/>
    </x:xf>
    <x:xf numFmtId="14" fontId="16" fillId="0" borderId="1" xfId="5" applyNumberFormat="1" applyFont="1" applyFill="1" applyBorder="1" applyAlignment="1" applyProtection="1">
      <x:alignment horizontal="general" vertical="top"/>
      <x:protection locked="0"/>
    </x:xf>
    <x:xf numFmtId="14" fontId="13" fillId="0" borderId="1" xfId="5" applyNumberFormat="1" applyFont="1" applyFill="1" applyBorder="1" applyAlignment="1" applyProtection="1">
      <x:alignment horizontal="general" vertical="center"/>
      <x:protection locked="0"/>
    </x:xf>
    <x:xf numFmtId="0" fontId="13" fillId="0" borderId="1" xfId="5" applyNumberFormat="1" applyFont="1" applyFill="1" applyBorder="1" applyAlignment="1" applyProtection="1">
      <x:alignment horizontal="general" vertical="top"/>
      <x:protection locked="0"/>
    </x:xf>
    <x:xf numFmtId="0" fontId="13" fillId="0" borderId="1" xfId="5" applyNumberFormat="1" applyFont="1" applyFill="1" applyBorder="1" applyAlignment="1" applyProtection="1">
      <x:alignment horizontal="general" vertical="center"/>
      <x:protection locked="0"/>
    </x:xf>
    <x:xf numFmtId="10" fontId="13" fillId="4" borderId="2" xfId="4" applyNumberFormat="1" applyFont="1" applyFill="1" applyBorder="1" applyAlignment="1" applyProtection="1">
      <x:alignment horizontal="general" vertical="center"/>
    </x:xf>
    <mc:AlternateContent xmlns:mc="http://schemas.openxmlformats.org/markup-compatibility/2006">
      <mc:Choice xmlns:hs="http://schemas.haansoft.com/office/spreadsheet/8.0" Requires="hs">
        <x:xf numFmtId="14" fontId="13" fillId="0" borderId="3"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3" fillId="0" borderId="3" xfId="5" applyNumberFormat="1" applyFont="1" applyFill="1" applyBorder="1" applyAlignment="1" applyProtection="1">
          <x:alignment horizontal="right" vertical="top"/>
          <x:protection locked="0"/>
        </x:xf>
      </mc:Fallback>
    </mc:AlternateContent>
    <x:xf numFmtId="14" fontId="13" fillId="0" borderId="3" xfId="5" applyNumberFormat="1" applyFont="1" applyFill="1" applyBorder="1" applyAlignment="1" applyProtection="1">
      <x:alignment horizontal="general" vertical="center"/>
      <x:protection locked="0"/>
    </x:xf>
    <x:xf numFmtId="0" fontId="13" fillId="0" borderId="3" xfId="5" applyNumberFormat="1" applyFont="1" applyFill="1" applyBorder="1" applyAlignment="1" applyProtection="1">
      <x:alignment horizontal="general" vertical="top"/>
      <x:protection locked="0"/>
    </x:xf>
    <x:xf numFmtId="0" fontId="13" fillId="0" borderId="3" xfId="5" applyNumberFormat="1" applyFont="1" applyFill="1" applyBorder="1" applyAlignment="1" applyProtection="1">
      <x:alignment horizontal="general" vertical="center"/>
      <x:protection locked="0"/>
    </x:xf>
    <x:xf numFmtId="14" fontId="12" fillId="0" borderId="0" xfId="5" applyNumberFormat="1" applyFont="1" applyFill="1" applyBorder="1" applyAlignment="1" applyProtection="1">
      <x:alignment horizontal="general" vertical="top"/>
      <x:protection locked="0"/>
    </x:xf>
    <x:xf numFmtId="14" fontId="12" fillId="0" borderId="0" xfId="5" applyNumberFormat="1" applyFont="1" applyFill="1" applyBorder="1" applyAlignment="1" applyProtection="1">
      <x:alignment horizontal="general" vertical="center"/>
      <x:protection locked="0"/>
    </x:xf>
    <x:xf numFmtId="0" fontId="12" fillId="0" borderId="0" xfId="5" applyNumberFormat="1" applyFont="1" applyFill="1" applyBorder="1" applyAlignment="1" applyProtection="1">
      <x:alignment horizontal="general" vertical="top"/>
      <x:protection locked="0"/>
    </x:xf>
    <x:xf numFmtId="14" fontId="12" fillId="0" borderId="0" xfId="5" applyNumberFormat="1" applyFont="1" applyFill="1" applyBorder="1" applyProtection="1">
      <x:alignment horizontal="general" vertical="bottom"/>
      <x:protection locked="0"/>
    </x:xf>
    <x:xf numFmtId="167" fontId="12" fillId="0" borderId="0" xfId="4" applyNumberFormat="1" applyFont="1" applyFill="1" applyBorder="1" applyAlignment="1" applyProtection="1">
      <x:alignment horizontal="general" vertical="center"/>
      <x:protection locked="0"/>
    </x:xf>
    <x:xf numFmtId="0" fontId="12" fillId="0" borderId="0" xfId="5" applyNumberFormat="1" applyFont="1" applyFill="1" applyBorder="1" applyProtection="1">
      <x:alignment horizontal="general" vertical="bottom"/>
      <x:protection locked="0"/>
    </x:xf>
    <x:xf numFmtId="1" fontId="12" fillId="0" borderId="0" xfId="5" applyNumberFormat="1" applyFont="1" applyFill="1" applyBorder="1" applyAlignment="1" applyProtection="1">
      <x:alignment horizontal="general" vertical="center"/>
      <x:protection locked="0"/>
    </x:xf>
    <x:xf numFmtId="164" fontId="12" fillId="0" borderId="0" xfId="5" applyNumberFormat="1" applyFont="1" applyFill="1" applyBorder="1" applyAlignment="1" applyProtection="1">
      <x:alignment horizontal="general" vertical="center"/>
      <x:protection locked="0"/>
    </x:xf>
    <x:xf numFmtId="0" fontId="9" fillId="0" borderId="0" xfId="5" applyNumberFormat="1" applyFont="1" applyFill="1" applyBorder="1" applyAlignment="1">
      <x:alignment horizontal="general" vertical="center"/>
    </x:xf>
    <x:xf numFmtId="0" fontId="12" fillId="5" borderId="4" xfId="5" applyNumberFormat="1" applyFont="1" applyFill="1" applyBorder="1" applyAlignment="1">
      <x:alignment horizontal="left" vertical="bottom" wrapText="1"/>
    </x:xf>
    <x:xf numFmtId="14" fontId="12" fillId="0" borderId="0" xfId="5" applyNumberFormat="1" applyFont="1" applyFill="1" applyProtection="1">
      <x:alignment horizontal="general" vertical="bottom"/>
    </x:xf>
    <x:xf numFmtId="14" fontId="12" fillId="3" borderId="0" xfId="5" applyNumberFormat="1" applyFont="1" applyFill="1" applyAlignment="1" applyProtection="1">
      <x:alignment horizontal="general" vertical="top"/>
    </x:xf>
    <mc:AlternateContent xmlns:mc="http://schemas.openxmlformats.org/markup-compatibility/2006">
      <mc:Choice xmlns:hs="http://schemas.haansoft.com/office/spreadsheet/8.0" Requires="hs">
        <x:xf numFmtId="14" fontId="17" fillId="6" borderId="5"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7" fillId="6" borderId="5"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12" fillId="0" borderId="0" xfId="5" applyNumberFormat="1" applyFont="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2" fillId="0" borderId="0" xfId="5" applyNumberFormat="1" applyFont="1" applyAlignment="1" applyProtection="1">
          <x:alignment horizontal="center" vertical="center"/>
        </x:xf>
      </mc:Fallback>
    </mc:AlternateContent>
    <x:xf numFmtId="14" fontId="12" fillId="0" borderId="0" xfId="5" applyNumberFormat="1" applyFont="1" applyProtection="1">
      <x:alignment horizontal="general" vertical="bottom"/>
    </x:xf>
    <x:xf numFmtId="0" fontId="13" fillId="7" borderId="6" xfId="5" applyNumberFormat="1" applyFont="1" applyFill="1" applyBorder="1" applyAlignment="1">
      <x:alignment horizontal="left" vertical="top"/>
    </x:xf>
    <x:xf numFmtId="0" fontId="13" fillId="0" borderId="0" xfId="5" applyNumberFormat="1" applyFont="1" applyFill="1" applyAlignment="1">
      <x:alignment horizontal="left" vertical="top"/>
    </x:xf>
    <x:xf numFmtId="0" fontId="13" fillId="0" borderId="0" xfId="5" applyNumberFormat="1" applyFont="1" applyFill="1" applyBorder="1" applyAlignment="1">
      <x:alignment horizontal="general" vertical="top"/>
    </x:xf>
    <x:xf numFmtId="0" fontId="13" fillId="0" borderId="0" xfId="5" applyNumberFormat="1" applyFont="1" applyFill="1" applyBorder="1" applyAlignment="1">
      <x:alignment horizontal="left" vertical="top"/>
    </x:xf>
    <x:xf numFmtId="0" fontId="13" fillId="0" borderId="0" xfId="5" applyNumberFormat="1" applyFont="1" applyFill="1" applyAlignment="1">
      <x:alignment horizontal="general" vertical="top"/>
    </x:xf>
    <x:xf numFmtId="0" fontId="13" fillId="0" borderId="0" xfId="5" quotePrefix="1" applyNumberFormat="1" applyFont="1" applyFill="1" applyBorder="1" applyAlignment="1">
      <x:alignment horizontal="left" vertical="top"/>
    </x:xf>
    <x:xf numFmtId="14" fontId="13" fillId="0" borderId="0" xfId="5" applyNumberFormat="1" applyFont="1" applyFill="1" applyBorder="1" applyAlignment="1">
      <x:alignment horizontal="left" vertical="top"/>
    </x:xf>
    <x:xf numFmtId="0" fontId="13" fillId="0" borderId="6" xfId="5" applyNumberFormat="1" applyFont="1" applyFill="1" applyBorder="1" applyAlignment="1">
      <x:alignment horizontal="general" vertical="top"/>
    </x:xf>
    <x:xf numFmtId="0" fontId="13" fillId="0" borderId="6" xfId="5" applyNumberFormat="1" applyFont="1" applyFill="1" applyBorder="1" applyAlignment="1">
      <x:alignment horizontal="left" vertical="top"/>
    </x:xf>
    <x:xf numFmtId="14" fontId="13" fillId="0" borderId="0" xfId="5" applyNumberFormat="1" applyFont="1" applyFill="1" applyAlignment="1">
      <x:alignment horizontal="left" vertical="top"/>
    </x:xf>
    <x:xf numFmtId="1" fontId="13" fillId="0" borderId="0" xfId="5" applyNumberFormat="1" applyFont="1" applyFill="1" applyAlignment="1">
      <x:alignment horizontal="left" vertical="top"/>
    </x:xf>
    <x:xf numFmtId="22" fontId="13" fillId="0" borderId="0" xfId="5" applyNumberFormat="1" applyFont="1" applyFill="1" applyAlignment="1">
      <x:alignment horizontal="left" vertical="top"/>
    </x:xf>
    <x:xf numFmtId="14" fontId="13" fillId="0" borderId="0" xfId="5" applyNumberFormat="1" applyFont="1" applyFill="1" applyAlignment="1">
      <x:alignment horizontal="general" vertical="top"/>
    </x:xf>
    <x:xf numFmtId="0" fontId="13" fillId="0" borderId="0" xfId="0" applyNumberFormat="1" applyFont="1" applyAlignment="1">
      <x:alignment horizontal="general" vertical="bottom"/>
    </x:xf>
    <x:xf numFmtId="14" fontId="0" fillId="0" borderId="0" xfId="0" applyNumberFormat="1">
      <x:alignment horizontal="general" vertical="bottom"/>
    </x:xf>
    <x:xf numFmtId="9" fontId="0" fillId="0" borderId="0" xfId="0" applyNumberFormat="1">
      <x:alignment horizontal="general" vertical="bottom"/>
    </x:xf>
    <mc:AlternateContent xmlns:mc="http://schemas.openxmlformats.org/markup-compatibility/2006">
      <mc:Choice xmlns:hs="http://schemas.haansoft.com/office/spreadsheet/8.0" Requires="hs">
        <x:xf numFmtId="0" fontId="18" fillId="6" borderId="4" xfId="5"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18" fillId="6" borderId="4" xfId="5"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18" fillId="6" borderId="4" xfId="5"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0" fontId="18" fillId="6" borderId="4" xfId="5" applyNumberFormat="1" applyFont="1" applyFill="1" applyBorder="1" applyAlignment="1">
          <x:alignment horizontal="center" vertical="center" wrapText="1"/>
        </x:xf>
      </mc:Fallback>
    </mc:AlternateContent>
    <x:xf numFmtId="0" fontId="19" fillId="0" borderId="0" xfId="0" applyNumberFormat="1" applyFont="1" applyAlignment="1">
      <x:alignment horizontal="general" vertical="top"/>
    </x:xf>
    <mc:AlternateContent xmlns:mc="http://schemas.openxmlformats.org/markup-compatibility/2006">
      <mc:Choice xmlns:hs="http://schemas.haansoft.com/office/spreadsheet/8.0" Requires="hs">
        <x:xf numFmtId="0" fontId="19" fillId="0" borderId="0" xfId="0" applyNumberFormat="1" applyFont="1" applyAlignment="1" hs:applyExtension="1">
          <x:alignment horizontal="center" vertical="top"/>
          <hs:parashape hs:lineSpacingType="betweenLines" hs:lineSpacing="75" hs:breakNonLatinWord="breakWord" hs:breakLatinWord="keepWord" hs:condense="0" hs:textAlignment="baseLine"/>
        </x:xf>
      </mc:Choice>
      <mc:Fallback>
        <x:xf numFmtId="0" fontId="19" fillId="0" borderId="0" xfId="0" applyNumberFormat="1" applyFont="1" applyAlignment="1">
          <x:alignment horizontal="center" vertical="top"/>
        </x:xf>
      </mc:Fallback>
    </mc:AlternateContent>
    <x:xf numFmtId="0" fontId="20" fillId="0" borderId="0" xfId="0" applyNumberFormat="1" applyFont="1" applyAlignment="1">
      <x:alignment horizontal="general" vertical="top"/>
    </x:xf>
    <x:xf numFmtId="0" fontId="19" fillId="0" borderId="0" xfId="0" applyNumberFormat="1" applyFont="1" applyAlignment="1">
      <x:alignment horizontal="general" vertical="top" wrapText="1"/>
    </x:xf>
    <x:xf numFmtId="0" fontId="12" fillId="5" borderId="7" xfId="5" applyNumberFormat="1" applyFont="1" applyFill="1" applyBorder="1" applyAlignment="1">
      <x:alignment horizontal="left" vertical="bottom" wrapText="1"/>
    </x:xf>
    <x:xf numFmtId="0" fontId="12" fillId="0" borderId="0" xfId="5" applyNumberFormat="1" applyFont="1" applyBorder="1">
      <x:alignment horizontal="general" vertical="bottom"/>
    </x:xf>
    <x:xf numFmtId="10" fontId="0" fillId="0" borderId="0" xfId="0" applyNumberFormat="1">
      <x:alignment horizontal="general" vertical="bottom"/>
    </x:xf>
    <x:xf numFmtId="0" fontId="0" fillId="7" borderId="0" xfId="0" applyNumberFormat="1" applyFill="1">
      <x:alignment horizontal="general" vertical="bottom"/>
    </x:xf>
    <x:xf numFmtId="14" fontId="0" fillId="8" borderId="5" xfId="0" applyNumberFormat="1" applyFont="1" applyFill="1" applyBorder="1" applyProtection="1">
      <x:alignment horizontal="general" vertical="bottom"/>
      <x:protection locked="0"/>
    </x:xf>
    <x:xf numFmtId="14" fontId="0" fillId="0" borderId="5" xfId="0" applyNumberFormat="1" applyFont="1" applyBorder="1" applyProtection="1">
      <x:alignment horizontal="general" vertical="bottom"/>
      <x:protection locked="0"/>
    </x:xf>
    <x:xf numFmtId="14" fontId="0" fillId="0" borderId="0" xfId="5" applyNumberFormat="1" applyFont="1" applyProtection="1">
      <x:alignment horizontal="general" vertical="bottom"/>
    </x:xf>
    <x:xf numFmtId="14" fontId="0" fillId="8" borderId="5" xfId="5" applyNumberFormat="1" applyFont="1" applyFill="1" applyBorder="1" applyProtection="1">
      <x:alignment horizontal="general" vertical="bottom"/>
      <x:protection locked="0"/>
    </x:xf>
    <x:xf numFmtId="14" fontId="0" fillId="0" borderId="5" xfId="5" applyNumberFormat="1" applyFont="1" applyBorder="1" applyProtection="1">
      <x:alignment horizontal="general" vertical="bottom"/>
      <x:protection locked="0"/>
    </x:xf>
    <x:xf numFmtId="0" fontId="21" fillId="0" borderId="0" xfId="5" applyNumberFormat="1" applyFont="1">
      <x:alignment horizontal="general" vertical="bottom"/>
    </x:xf>
    <x:xf numFmtId="14" fontId="0" fillId="0" borderId="5" xfId="0" applyNumberFormat="1" applyFont="1" applyFill="1" applyBorder="1" applyProtection="1">
      <x:alignment horizontal="general" vertical="bottom"/>
      <x:protection locked="0"/>
    </x:xf>
    <x:xf numFmtId="14" fontId="0" fillId="0" borderId="5" xfId="5" applyNumberFormat="1" applyFont="1" applyBorder="1" applyProtection="1">
      <x:alignment horizontal="general" vertical="bottom"/>
    </x:xf>
    <x:xf numFmtId="0" fontId="22" fillId="0" borderId="0" xfId="0" applyNumberFormat="1" applyFont="1">
      <x:alignment horizontal="general" vertical="bottom"/>
    </x:xf>
    <x:xf numFmtId="0" fontId="13" fillId="0" borderId="0" xfId="0" applyNumberFormat="1" applyFont="1" applyProtection="1">
      <x:alignment horizontal="general" vertical="bottom"/>
      <x:protection locked="0"/>
    </x:xf>
    <mc:AlternateContent xmlns:mc="http://schemas.openxmlformats.org/markup-compatibility/2006">
      <mc:Choice xmlns:hs="http://schemas.haansoft.com/office/spreadsheet/8.0" Requires="hs">
        <x:xf numFmtId="0" fontId="13" fillId="0" borderId="0" xfId="0" applyNumberFormat="1" applyFont="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13" fillId="0" borderId="0" xfId="0" applyNumberFormat="1" applyFont="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0" fontId="23" fillId="0" borderId="0" xfId="0" applyNumberFormat="1" applyFont="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3" fillId="0" borderId="0" xfId="0" applyNumberFormat="1" applyFont="1" applyAlignment="1" applyProtection="1">
          <x:alignment horizontal="center" vertical="bottom"/>
          <x:protection locked="0"/>
        </x:xf>
      </mc:Fallback>
    </mc:AlternateContent>
    <x:xf numFmtId="0" fontId="24" fillId="0" borderId="0" xfId="0" applyNumberFormat="1" applyFont="1" applyProtection="1">
      <x:alignment horizontal="general" vertical="bottom"/>
      <x:protection locked="0"/>
    </x:xf>
    <x:xf numFmtId="0" fontId="13" fillId="0" borderId="0" xfId="0" applyNumberFormat="1" applyFont="1" applyAlignment="1" applyProtection="1">
      <x:alignment horizontal="general" vertical="center"/>
      <x:protection locked="0"/>
    </x:xf>
    <mc:AlternateContent xmlns:mc="http://schemas.openxmlformats.org/markup-compatibility/2006">
      <mc:Choice xmlns:hs="http://schemas.haansoft.com/office/spreadsheet/8.0" Requires="hs">
        <x:xf numFmtId="0" fontId="25" fillId="9"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5" fillId="9" borderId="8" xfId="3" applyNumberFormat="1" applyFont="1" applyFill="1" applyBorder="1" applyAlignment="1" applyProtection="1">
          <x:alignment horizontal="center" vertical="center" wrapText="1"/>
          <x:protection locked="0"/>
        </x:xf>
      </mc:Fallback>
    </mc:AlternateContent>
    <mc:AlternateContent xmlns:mc="http://schemas.openxmlformats.org/markup-compatibility/2006">
      <mc:Choice xmlns:hs="http://schemas.haansoft.com/office/spreadsheet/8.0" Requires="hs">
        <x:xf numFmtId="0" fontId="25" fillId="10"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5" fillId="10" borderId="8" xfId="3" applyNumberFormat="1" applyFont="1" applyFill="1" applyBorder="1" applyAlignment="1" applyProtection="1">
          <x:alignment horizontal="center" vertical="center" wrapText="1"/>
          <x:protection locked="0"/>
        </x:xf>
      </mc:Fallback>
    </mc:AlternateContent>
    <mc:AlternateContent xmlns:mc="http://schemas.openxmlformats.org/markup-compatibility/2006">
      <mc:Choice xmlns:hs="http://schemas.haansoft.com/office/spreadsheet/8.0" Requires="hs">
        <x:xf numFmtId="0" fontId="25" fillId="11"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5" fillId="11" borderId="8" xfId="3" applyNumberFormat="1" applyFont="1" applyFill="1" applyBorder="1" applyAlignment="1" applyProtection="1">
          <x:alignment horizontal="center" vertical="center" wrapText="1"/>
          <x:protection locked="0"/>
        </x:xf>
      </mc:Fallback>
    </mc:AlternateContent>
    <mc:AlternateContent xmlns:mc="http://schemas.openxmlformats.org/markup-compatibility/2006">
      <mc:Choice xmlns:hs="http://schemas.haansoft.com/office/spreadsheet/8.0" Requires="hs">
        <x:xf numFmtId="0" fontId="25" fillId="12"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5" fillId="12" borderId="8" xfId="3" applyNumberFormat="1" applyFont="1" applyFill="1" applyBorder="1" applyAlignment="1" applyProtection="1">
          <x:alignment horizontal="center" vertical="center" wrapText="1"/>
          <x:protection locked="0"/>
        </x:xf>
      </mc:Fallback>
    </mc:AlternateContent>
    <mc:AlternateContent xmlns:mc="http://schemas.openxmlformats.org/markup-compatibility/2006">
      <mc:Choice xmlns:hs="http://schemas.haansoft.com/office/spreadsheet/8.0" Requires="hs">
        <x:xf numFmtId="0" fontId="25" fillId="13"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5" fillId="13" borderId="8" xfId="3" applyNumberFormat="1" applyFont="1" applyFill="1" applyBorder="1" applyAlignment="1" applyProtection="1">
          <x:alignment horizontal="center" vertical="center" wrapText="1"/>
          <x:protection locked="0"/>
        </x:xf>
      </mc:Fallback>
    </mc:AlternateContent>
    <mc:AlternateContent xmlns:mc="http://schemas.openxmlformats.org/markup-compatibility/2006">
      <mc:Choice xmlns:hs="http://schemas.haansoft.com/office/spreadsheet/8.0" Requires="hs">
        <x:xf numFmtId="0" fontId="26" fillId="13"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6" fillId="13" borderId="8" xfId="3" applyNumberFormat="1" applyFont="1" applyFill="1" applyBorder="1" applyAlignment="1" applyProtection="1">
          <x:alignment horizontal="center" vertical="center" wrapText="1"/>
          <x:protection locked="0"/>
        </x:xf>
      </mc:Fallback>
    </mc:AlternateContent>
    <x:xf numFmtId="0" fontId="22" fillId="0" borderId="0" xfId="0" applyNumberFormat="1" applyFont="1" applyAlignment="1">
      <x:alignment horizontal="general" vertical="center"/>
    </x:xf>
    <mc:AlternateContent xmlns:mc="http://schemas.openxmlformats.org/markup-compatibility/2006">
      <mc:Choice xmlns:hs="http://schemas.haansoft.com/office/spreadsheet/8.0" Requires="hs">
        <x:xf numFmtId="0" fontId="22" fillId="0" borderId="0" xfId="0" applyNumberFormat="1" applyFont="1" applyAlignment="1" hs:applyExtension="1">
          <x:alignment horizontal="center" vertical="center"/>
          <hs:parashape hs:lineSpacingType="betweenLines" hs:lineSpacing="75" hs:breakNonLatinWord="breakWord" hs:breakLatinWord="keepWord" hs:condense="0" hs:textAlignment="baseLine"/>
        </x:xf>
      </mc:Choice>
      <mc:Fallback>
        <x:xf numFmtId="0" fontId="22" fillId="0" borderId="0" xfId="0" applyNumberFormat="1" applyFont="1" applyAlignment="1">
          <x:alignment horizontal="center" vertical="center"/>
        </x:xf>
      </mc:Fallback>
    </mc:AlternateContent>
    <x:xf numFmtId="0" fontId="12" fillId="0" borderId="0" xfId="0" applyNumberFormat="1" applyFont="1" applyAlignment="1">
      <x:alignment horizontal="general" vertical="center"/>
    </x:xf>
    <mc:AlternateContent xmlns:mc="http://schemas.openxmlformats.org/markup-compatibility/2006">
      <mc:Choice xmlns:hs="http://schemas.haansoft.com/office/spreadsheet/8.0" Requires="hs">
        <x:xf numFmtId="0" fontId="27" fillId="0" borderId="0" xfId="0" applyNumberFormat="1" applyFont="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7" fillId="0" borderId="0" xfId="0" applyNumberFormat="1" applyFont="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0" fontId="26" fillId="14" borderId="8" xfId="3" applyNumberFormat="1" applyFon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26" fillId="14" borderId="8" xfId="3" applyNumberFormat="1" applyFont="1" applyFill="1" applyBorder="1" applyAlignment="1" applyProtection="1">
          <x:alignment horizontal="center" vertical="center" wrapText="1"/>
          <x:protection locked="0"/>
        </x:xf>
      </mc:Fallback>
    </mc:AlternateContent>
    <mc:AlternateContent xmlns:mc="http://schemas.openxmlformats.org/markup-compatibility/2006">
      <mc:Choice xmlns:hs="http://schemas.haansoft.com/office/spreadsheet/8.0" Requires="hs">
        <x:xf numFmtId="0" fontId="24" fillId="0" borderId="0" xfId="0" applyNumberFormat="1" applyFont="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4" fillId="0" borderId="0" xfId="0" applyNumberFormat="1" applyFont="1" applyAlignment="1" applyProtection="1">
          <x:alignment horizontal="center" vertical="bottom"/>
          <x:protection locked="0"/>
        </x:xf>
      </mc:Fallback>
    </mc:AlternateContent>
    <x:xf numFmtId="0" fontId="27" fillId="15" borderId="0" xfId="0" applyNumberFormat="1" applyFont="1" applyFill="1" applyAlignment="1" applyProtection="1">
      <x:alignment horizontal="left" vertical="bottom"/>
      <x:protection locked="0"/>
    </x:xf>
    <x:xf numFmtId="0" fontId="13" fillId="15" borderId="0" xfId="0" applyNumberFormat="1" applyFont="1" applyFill="1" applyProtection="1">
      <x:alignment horizontal="general" vertical="bottom"/>
      <x:protection locked="0"/>
    </x:xf>
    <x:xf numFmtId="0" fontId="24" fillId="15" borderId="0" xfId="0" applyNumberFormat="1" applyFont="1" applyFill="1" applyProtection="1">
      <x:alignment horizontal="general" vertical="bottom"/>
      <x:protection locked="0"/>
    </x:xf>
    <x:xf numFmtId="0" fontId="13" fillId="15" borderId="0" xfId="0" applyNumberFormat="1" applyFont="1" applyFill="1" applyAlignment="1" applyProtection="1">
      <x:alignment horizontal="general" vertical="center"/>
      <x:protection locked="0"/>
    </x:xf>
    <mc:AlternateContent xmlns:mc="http://schemas.openxmlformats.org/markup-compatibility/2006">
      <mc:Choice xmlns:hs="http://schemas.haansoft.com/office/spreadsheet/8.0" Requires="hs">
        <x:xf numFmtId="0" fontId="22" fillId="0" borderId="0" xfId="0" applyNumberFormat="1" applyFont="1" applyAlignment="1" hs:applyExtension="1">
          <x:alignment horizontal="center" vertical="bottom"/>
          <hs:parashape hs:lineSpacingType="betweenLines" hs:lineSpacing="75" hs:breakNonLatinWord="breakWord" hs:breakLatinWord="keepWord" hs:condense="0" hs:textAlignment="baseLine"/>
        </x:xf>
      </mc:Choice>
      <mc:Fallback>
        <x:xf numFmtId="0" fontId="22" fillId="0" borderId="0" xfId="0" applyNumberFormat="1" applyFont="1" applyAlignment="1">
          <x:alignment horizontal="center" vertical="bottom"/>
        </x:xf>
      </mc:Fallback>
    </mc:AlternateContent>
    <mc:AlternateContent xmlns:mc="http://schemas.openxmlformats.org/markup-compatibility/2006">
      <mc:Choice xmlns:hs="http://schemas.haansoft.com/office/spreadsheet/8.0" Requires="hs">
        <x:xf numFmtId="0" fontId="7" fillId="0" borderId="9" xfId="3" applyNumberFormat="1" applyFill="1" applyBorder="1" applyAlignment="1" applyProtection="1" hs:applyExtension="1">
          <x:alignment horizontal="center" vertical="center" wrapText="1"/>
          <x:protection locked="0"/>
          <hs:parashape hs:lineSpacingType="betweenLines" hs:lineSpacing="75" hs:breakNonLatinWord="breakWord" hs:breakLatinWord="keepWord" hs:condense="0" hs:textAlignment="baseLine"/>
        </x:xf>
      </mc:Choice>
      <mc:Fallback>
        <x:xf numFmtId="0" fontId="7" fillId="0" borderId="9" xfId="3" applyNumberFormat="1" applyFill="1" applyBorder="1" applyAlignment="1" applyProtection="1">
          <x:alignment horizontal="center" vertical="center" wrapText="1"/>
          <x:protection locked="0"/>
        </x:xf>
      </mc:Fallback>
    </mc:AlternateContent>
    <x:xf numFmtId="14" fontId="12" fillId="0" borderId="0" xfId="5" applyNumberFormat="1" applyFont="1" applyFill="1" applyBorder="1" applyAlignment="1" applyProtection="1">
      <x:alignment horizontal="left" vertical="bottom"/>
      <x:protection locked="0"/>
    </x:xf>
    <x:xf numFmtId="0" fontId="12" fillId="0" borderId="0" xfId="5" applyNumberFormat="1" applyFont="1" applyFill="1" applyBorder="1" applyAlignment="1" applyProtection="1">
      <x:alignment horizontal="left" vertical="bottom"/>
      <x:protection locked="0"/>
    </x:xf>
    <x:xf numFmtId="0" fontId="12" fillId="0" borderId="0" xfId="5" applyNumberFormat="1" applyFont="1" applyFill="1" applyBorder="1" applyAlignment="1" applyProtection="1">
      <x:alignment horizontal="left" vertical="bottom"/>
      <x:protection locked="0"/>
    </x:xf>
    <x:xf numFmtId="10" fontId="12" fillId="0" borderId="0" xfId="5" applyNumberFormat="1" applyFont="1" applyFill="1" applyBorder="1" applyAlignment="1" applyProtection="1">
      <x:alignment horizontal="left" vertical="bottom"/>
      <x:protection locked="0"/>
    </x:xf>
    <x:xf numFmtId="0" fontId="12" fillId="0" borderId="0" xfId="5" quotePrefix="1" applyNumberFormat="1" applyFont="1" applyFill="1" applyBorder="1" applyAlignment="1" applyProtection="1">
      <x:alignment horizontal="left" vertical="bottom"/>
      <x:protection locked="0"/>
    </x:xf>
    <mc:AlternateContent xmlns:mc="http://schemas.openxmlformats.org/markup-compatibility/2006">
      <mc:Choice xmlns:hs="http://schemas.haansoft.com/office/spreadsheet/8.0" Requires="hs">
        <x:xf numFmtId="0" fontId="12"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12"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0" fontId="12"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12"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10" fontId="12"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10" fontId="12" fillId="0" borderId="0" xfId="5" applyNumberFormat="1" applyFont="1" applyFill="1" applyBorder="1" applyAlignment="1" applyProtection="1">
          <x:alignment horizontal="center" vertical="bottom"/>
          <x:protection locked="0"/>
        </x:xf>
      </mc:Fallback>
    </mc:AlternateContent>
    <x:xf numFmtId="3" fontId="13" fillId="0" borderId="0" xfId="5" applyNumberFormat="1" applyFont="1" applyFill="1" applyAlignment="1">
      <x:alignment horizontal="general" vertical="top"/>
    </x:xf>
    <x:xf numFmtId="0" fontId="12" fillId="0" borderId="0" xfId="5" applyNumberFormat="1" applyFont="1" applyBorder="1">
      <x:alignment horizontal="general" vertical="bottom"/>
    </x:xf>
    <x:xf numFmtId="14" fontId="0" fillId="7" borderId="0" xfId="0" applyNumberFormat="1" applyFill="1">
      <x:alignment horizontal="general" vertical="bottom"/>
    </x:xf>
    <x:xf numFmtId="0" fontId="7" fillId="3" borderId="0" xfId="3" applyNumberFormat="1" applyFill="1" applyBorder="1" applyAlignment="1">
      <x:alignment horizontal="left" vertical="center"/>
    </x:xf>
    <x:xf numFmtId="0" fontId="19" fillId="3" borderId="0" xfId="2" applyNumberFormat="1" applyFont="1" applyFill="1" applyBorder="1" applyAlignment="1">
      <x:alignment horizontal="left" vertical="center"/>
    </x:xf>
    <x:xf numFmtId="0" fontId="19" fillId="0" borderId="0" xfId="2" applyNumberFormat="1" applyFont="1" applyFill="1" applyBorder="1" applyAlignment="1">
      <x:alignment horizontal="left" vertical="center"/>
    </x:xf>
    <x:xf numFmtId="0" fontId="19" fillId="0" borderId="0" xfId="5" applyNumberFormat="1" applyFont="1" applyFill="1" applyBorder="1" applyAlignment="1" applyProtection="1">
      <x:alignment horizontal="left" vertical="center"/>
    </x:xf>
    <x:xf numFmtId="0" fontId="19" fillId="0" borderId="10" xfId="5" applyNumberFormat="1" applyFont="1" applyFill="1" applyBorder="1" applyAlignment="1" applyProtection="1">
      <x:alignment horizontal="left" vertical="center"/>
      <x:protection locked="0"/>
    </x:xf>
    <x:xf numFmtId="0" fontId="19" fillId="0" borderId="5" xfId="5" applyNumberFormat="1" applyFont="1" applyFill="1" applyBorder="1" applyAlignment="1" applyProtection="1">
      <x:alignment horizontal="general" vertical="top"/>
      <x:protection locked="0"/>
    </x:xf>
    <x:xf numFmtId="0" fontId="19" fillId="0" borderId="5"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19" fillId="0" borderId="5" xfId="5" applyNumberFormat="1" applyFont="1" applyFill="1" applyBorder="1" applyAlignment="1" applyProtection="1">
          <x:alignment horizontal="center" vertical="top"/>
          <x:protection locked="0"/>
        </x:xf>
      </mc:Fallback>
    </mc:AlternateContent>
    <x:xf numFmtId="0" fontId="19" fillId="0" borderId="5"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6"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6" fontId="19" fillId="0" borderId="5"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19" fillId="0" borderId="5"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19" fillId="0" borderId="5" xfId="5" applyNumberFormat="1" applyFont="1" applyFill="1" applyBorder="1" applyAlignment="1" applyProtection="1">
          <x:alignment horizontal="center" vertical="top"/>
          <x:protection locked="0"/>
        </x:xf>
      </mc:Fallback>
    </mc:AlternateContent>
    <x:xf numFmtId="14" fontId="19" fillId="0" borderId="5"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19" fillId="0" borderId="5"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19" fillId="0" borderId="5"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19" fillId="0" borderId="5"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19" fillId="0" borderId="5" xfId="4" applyNumberFormat="1" applyFont="1" applyFill="1" applyBorder="1" applyAlignment="1" applyProtection="1">
          <x:alignment horizontal="right" vertical="top"/>
          <x:protection locked="0"/>
        </x:xf>
      </mc:Fallback>
    </mc:AlternateContent>
    <x:xf numFmtId="0" fontId="28" fillId="3" borderId="0" xfId="2" applyNumberFormat="1" applyFont="1" applyFill="1" applyBorder="1" applyAlignment="1">
      <x:alignment horizontal="left" vertical="top"/>
    </x:xf>
    <x:xf numFmtId="0" fontId="28" fillId="3" borderId="0" xfId="2" applyNumberFormat="1" applyFont="1" applyFill="1" applyBorder="1" applyAlignment="1">
      <x:alignment horizontal="left" vertical="center"/>
    </x:xf>
    <x:xf numFmtId="0" fontId="29" fillId="3" borderId="0" xfId="2" applyNumberFormat="1" applyFont="1" applyFill="1" applyBorder="1" applyAlignment="1">
      <x:alignment horizontal="left" vertical="top"/>
    </x:xf>
    <x:xf numFmtId="0" fontId="30" fillId="3" borderId="0" xfId="2" applyNumberFormat="1" applyFont="1" applyFill="1" applyBorder="1" applyAlignment="1">
      <x:alignment horizontal="general" vertical="center"/>
    </x:xf>
    <x:xf numFmtId="14" fontId="30" fillId="3" borderId="0" xfId="2" applyNumberFormat="1" applyFont="1" applyFill="1" applyBorder="1" applyAlignment="1">
      <x:alignment horizontal="general" vertical="top"/>
    </x:xf>
    <x:xf numFmtId="14" fontId="31" fillId="3" borderId="0" xfId="2" applyNumberFormat="1" applyFont="1" applyFill="1" applyBorder="1" applyAlignment="1">
      <x:alignment horizontal="left" vertical="top" wrapText="1"/>
    </x:xf>
    <mc:AlternateContent xmlns:mc="http://schemas.openxmlformats.org/markup-compatibility/2006">
      <mc:Choice xmlns:hs="http://schemas.haansoft.com/office/spreadsheet/8.0" Requires="hs">
        <x:xf numFmtId="166" fontId="32" fillId="3"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66" fontId="32" fillId="3"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66" fontId="28" fillId="3"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66" fontId="28" fillId="3"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66" fontId="30" fillId="3"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66" fontId="30" fillId="3"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4" fontId="30" fillId="3"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4" fontId="30" fillId="3"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 fontId="30" fillId="3"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 fontId="30" fillId="3" borderId="0" xfId="2" applyNumberFormat="1" applyFont="1" applyFill="1" applyBorder="1" applyAlignment="1">
          <x:alignment horizontal="center" vertical="top"/>
        </x:xf>
      </mc:Fallback>
    </mc:AlternateContent>
    <x:xf numFmtId="0" fontId="32" fillId="3" borderId="0" xfId="3" applyNumberFormat="1" applyFont="1" applyFill="1" applyBorder="1" applyAlignment="1">
      <x:alignment horizontal="general" vertical="top" wrapText="1"/>
    </x:xf>
    <x:xf numFmtId="0" fontId="32" fillId="3" borderId="0" xfId="3" applyNumberFormat="1" applyFont="1" applyFill="1" applyBorder="1" applyAlignment="1">
      <x:alignment horizontal="general" vertical="top"/>
    </x:xf>
    <x:xf numFmtId="0" fontId="32" fillId="3"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29" fillId="3"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29" fillId="3" borderId="0" xfId="3" applyNumberFormat="1" applyFont="1" applyFill="1" applyBorder="1" applyAlignment="1">
          <x:alignment horizontal="right" vertical="top"/>
        </x:xf>
      </mc:Fallback>
    </mc:AlternateContent>
    <mc:AlternateContent xmlns:mc="http://schemas.openxmlformats.org/markup-compatibility/2006">
      <mc:Choice xmlns:hs="http://schemas.haansoft.com/office/spreadsheet/8.0" Requires="hs">
        <x:xf numFmtId="0" fontId="29" fillId="3"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29" fillId="3" borderId="0" xfId="3" applyNumberFormat="1" applyFont="1" applyFill="1" applyBorder="1" applyAlignment="1">
          <x:alignment horizontal="right" vertical="center"/>
        </x:xf>
      </mc:Fallback>
    </mc:AlternateContent>
    <mc:AlternateContent xmlns:mc="http://schemas.openxmlformats.org/markup-compatibility/2006">
      <mc:Choice xmlns:hs="http://schemas.haansoft.com/office/spreadsheet/8.0" Requires="hs">
        <x:xf numFmtId="0" fontId="33" fillId="3"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33" fillId="3" borderId="0" xfId="3" applyNumberFormat="1" applyFont="1" applyFill="1" applyBorder="1" applyAlignment="1">
          <x:alignment horizontal="right" vertical="center"/>
        </x:xf>
      </mc:Fallback>
    </mc:AlternateContent>
    <mc:AlternateContent xmlns:mc="http://schemas.openxmlformats.org/markup-compatibility/2006">
      <mc:Choice xmlns:hs="http://schemas.haansoft.com/office/spreadsheet/8.0" Requires="hs">
        <x:xf numFmtId="10" fontId="33" fillId="3" borderId="0" xfId="4"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10" fontId="33" fillId="3" borderId="0" xfId="4" applyNumberFormat="1" applyFont="1" applyFill="1" applyBorder="1" applyAlignment="1">
          <x:alignment horizontal="right" vertical="center"/>
        </x:xf>
      </mc:Fallback>
    </mc:AlternateContent>
    <mc:AlternateContent xmlns:mc="http://schemas.openxmlformats.org/markup-compatibility/2006">
      <mc:Choice xmlns:hs="http://schemas.haansoft.com/office/spreadsheet/8.0" Requires="hs">
        <x:xf numFmtId="166" fontId="33" fillId="3"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166" fontId="33" fillId="3" borderId="0" xfId="3" applyNumberFormat="1" applyFont="1" applyFill="1" applyBorder="1" applyAlignment="1">
          <x:alignment horizontal="right" vertical="center"/>
        </x:xf>
      </mc:Fallback>
    </mc:AlternateContent>
    <x:xf numFmtId="0" fontId="34" fillId="3"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34" fillId="3"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34" fillId="3" borderId="0" xfId="3" applyNumberFormat="1" applyFont="1" applyFill="1" applyBorder="1" applyAlignment="1">
          <x:alignment horizontal="right" vertical="top"/>
        </x:xf>
      </mc:Fallback>
    </mc:AlternateContent>
    <x:xf numFmtId="0" fontId="35" fillId="3" borderId="0" xfId="3" applyNumberFormat="1" applyFont="1" applyFill="1" applyBorder="1" applyAlignment="1">
      <x:alignment horizontal="left" vertical="center"/>
    </x:xf>
    <x:xf numFmtId="0" fontId="19" fillId="0" borderId="0" xfId="6" applyNumberFormat="1" applyFont="1" applyAlignment="1">
      <x:alignment horizontal="left" vertical="top" wrapText="1"/>
    </x:xf>
    <x:xf numFmtId="0" fontId="19" fillId="0" borderId="0" xfId="6" applyNumberFormat="1" applyFont="1" applyAlignment="1">
      <x:alignment horizontal="left" vertical="top"/>
    </x:xf>
    <x:xf numFmtId="0" fontId="20" fillId="0" borderId="0" xfId="6" applyNumberFormat="1" applyFont="1" applyAlignment="1">
      <x:alignment horizontal="left" vertical="top"/>
    </x:xf>
    <x:xf numFmtId="14" fontId="19" fillId="0" borderId="0" xfId="6" applyNumberFormat="1" applyFont="1" applyAlignment="1">
      <x:alignment horizontal="left" vertical="top" wrapText="1"/>
    </x:xf>
    <x:xf numFmtId="0" fontId="19" fillId="0" borderId="0" xfId="0" applyNumberFormat="1" applyFont="1">
      <x:alignment horizontal="general" vertical="bottom"/>
    </x:xf>
    <x:xf numFmtId="0" fontId="19" fillId="0" borderId="0" xfId="6" applyNumberFormat="1" applyFont="1" applyAlignment="1">
      <x:alignment horizontal="left" vertical="top"/>
    </x:xf>
    <x:xf numFmtId="0" fontId="20" fillId="0" borderId="0" xfId="6" applyNumberFormat="1" applyFont="1" applyAlignment="1">
      <x:alignment horizontal="left" vertical="top" wrapText="1"/>
    </x:xf>
    <x:xf numFmtId="0" fontId="22" fillId="16" borderId="11" xfId="0" applyNumberFormat="1" applyFont="1" applyFill="1" applyBorder="1" applyAlignment="1">
      <x:alignment horizontal="general" vertical="center"/>
    </x:xf>
    <x:xf numFmtId="0" fontId="22" fillId="0" borderId="0" xfId="0" applyNumberFormat="1" applyFont="1" applyBorder="1">
      <x:alignment horizontal="general" vertical="bottom"/>
    </x:xf>
    <x:xf numFmtId="0" fontId="13" fillId="0" borderId="0" xfId="0" applyNumberFormat="1" applyFont="1" applyBorder="1" applyProtection="1">
      <x:alignment horizontal="general" vertical="bottom"/>
      <x:protection locked="0"/>
    </x:xf>
    <mc:AlternateContent xmlns:mc="http://schemas.openxmlformats.org/markup-compatibility/2006">
      <mc:Choice xmlns:hs="http://schemas.haansoft.com/office/spreadsheet/8.0" Requires="hs">
        <x:xf numFmtId="0"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19" fillId="0" borderId="5" xfId="5" applyNumberFormat="1" applyFont="1" applyFill="1" applyBorder="1" applyAlignment="1" applyProtection="1">
          <x:alignment horizontal="center" vertical="top"/>
          <x:protection locked="0"/>
        </x:xf>
      </mc:Fallback>
    </mc:AlternateContent>
    <x:xf numFmtId="0" fontId="30" fillId="3"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36" fillId="17" borderId="12"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36" fillId="17" borderId="12"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36" fillId="17" borderId="13"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36" fillId="17" borderId="13" xfId="5" applyNumberFormat="1" applyFont="1" applyFill="1" applyBorder="1" applyAlignment="1" applyProtection="1">
          <x:alignment horizontal="center" vertical="center"/>
        </x:xf>
      </mc:Fallback>
    </mc:AlternateContent>
    <x:xf numFmtId="0" fontId="19" fillId="0" borderId="14" xfId="5" applyNumberFormat="1" applyFont="1" applyFill="1" applyBorder="1" applyAlignment="1" applyProtection="1">
      <x:alignment horizontal="left" vertical="center"/>
      <x:protection locked="0"/>
    </x:xf>
    <x:xf numFmtId="0" fontId="19" fillId="0" borderId="15" xfId="5" applyNumberFormat="1" applyFont="1" applyFill="1" applyBorder="1" applyAlignment="1" applyProtection="1">
      <x:alignment horizontal="left" vertical="center"/>
      <x:protection locked="0"/>
    </x:xf>
    <x:xf numFmtId="0" fontId="19" fillId="0" borderId="16" xfId="5" applyNumberFormat="1" applyFont="1" applyFill="1" applyBorder="1" applyAlignment="1" applyProtection="1">
      <x:alignment horizontal="left" vertical="center"/>
      <x:protection locked="0"/>
    </x:xf>
    <x:xf numFmtId="0" fontId="19" fillId="0" borderId="17"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19" fillId="0" borderId="17"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19" fillId="0" borderId="17" xfId="5" applyNumberFormat="1" applyFont="1" applyFill="1" applyBorder="1" applyAlignment="1" applyProtection="1">
          <x:alignment horizontal="center" vertical="top"/>
          <x:protection locked="0"/>
        </x:xf>
      </mc:Fallback>
    </mc:AlternateContent>
    <x:xf numFmtId="0" fontId="19" fillId="0" borderId="17"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19" fillId="0" borderId="17"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19" fillId="0" borderId="17" xfId="5" applyNumberFormat="1" applyFont="1" applyFill="1" applyBorder="1" applyAlignment="1" applyProtection="1">
          <x:alignment horizontal="center" vertical="top"/>
          <x:protection locked="0"/>
        </x:xf>
      </mc:Fallback>
    </mc:AlternateContent>
    <x:xf numFmtId="0" fontId="19" fillId="0" borderId="17"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6" fontId="19" fillId="0" borderId="17"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6" fontId="19" fillId="0" borderId="17"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19" fillId="0" borderId="17"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19" fillId="0" borderId="17"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19" fillId="0" borderId="17"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19" fillId="0" borderId="17" xfId="5" applyNumberFormat="1" applyFont="1" applyFill="1" applyBorder="1" applyAlignment="1" applyProtection="1">
          <x:alignment horizontal="center" vertical="top"/>
          <x:protection locked="0"/>
        </x:xf>
      </mc:Fallback>
    </mc:AlternateContent>
    <x:xf numFmtId="14" fontId="19" fillId="0" borderId="17"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19" fillId="0" borderId="17"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19" fillId="0" borderId="17"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19" fillId="0" borderId="17"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19" fillId="0" borderId="17" xfId="4" applyNumberFormat="1" applyFont="1" applyFill="1" applyBorder="1" applyAlignment="1" applyProtection="1">
          <x:alignment horizontal="right" vertical="top"/>
          <x:protection locked="0"/>
        </x:xf>
      </mc:Fallback>
    </mc:AlternateContent>
    <x:xf numFmtId="0" fontId="19" fillId="0" borderId="5" xfId="5" applyNumberFormat="1" applyFont="1" applyFill="1" applyBorder="1" applyAlignment="1" applyProtection="1">
      <x:alignment horizontal="general" vertical="top"/>
      <x:protection locked="0"/>
    </x:xf>
    <x:xf numFmtId="0" fontId="19" fillId="0" borderId="5"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19" fillId="0" borderId="5" xfId="5" applyNumberFormat="1" applyFont="1" applyFill="1" applyBorder="1" applyAlignment="1" applyProtection="1">
          <x:alignment horizontal="center" vertical="top"/>
          <x:protection locked="0"/>
        </x:xf>
      </mc:Fallback>
    </mc:AlternateContent>
    <x:xf numFmtId="0" fontId="19" fillId="0" borderId="5"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6"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6" fontId="19" fillId="0" borderId="5"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19" fillId="0" borderId="5"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19" fillId="0" borderId="5"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19" fillId="0" borderId="5" xfId="5" applyNumberFormat="1" applyFont="1" applyFill="1" applyBorder="1" applyAlignment="1" applyProtection="1">
          <x:alignment horizontal="center" vertical="top"/>
          <x:protection locked="0"/>
        </x:xf>
      </mc:Fallback>
    </mc:AlternateContent>
    <x:xf numFmtId="14" fontId="19" fillId="0" borderId="5"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19" fillId="0" borderId="5"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19" fillId="0" borderId="5" xfId="1" applyNumberFormat="1" applyFont="1" applyFill="1" applyBorder="1" applyAlignment="1" applyProtection="1">
          <x:alignment horizontal="right" vertical="top" wrapText="1"/>
          <x:protection locked="0"/>
        </x:xf>
      </mc:Fallback>
    </mc:AlternateContent>
    <x:xf numFmtId="0" fontId="0" fillId="0" borderId="0" xfId="0" applyNumberFormat="1" applyAlignment="1">
      <x:alignment horizontal="general" vertical="bottom" wrapText="1"/>
    </x:xf>
    <mc:AlternateContent xmlns:mc="http://schemas.openxmlformats.org/markup-compatibility/2006">
      <mc:Choice xmlns:hs="http://schemas.haansoft.com/office/spreadsheet/8.0" Requires="hs">
        <x:xf numFmtId="10" fontId="19" fillId="3"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19" fillId="3" borderId="5"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0" fontId="19" fillId="18"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19" fillId="18" borderId="5"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0" fontId="37" fillId="18"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37" fillId="18" borderId="5" xfId="1" applyNumberFormat="1" applyFont="1" applyFill="1" applyBorder="1" applyAlignment="1" applyProtection="1">
          <x:alignment horizontal="right" vertical="top"/>
          <x:protection locked="0"/>
        </x:xf>
      </mc:Fallback>
    </mc:AlternateContent>
    <x:xf numFmtId="0" fontId="19" fillId="0" borderId="5" xfId="5" quotePrefix="1" applyNumberFormat="1" applyFont="1" applyFill="1" applyBorder="1" applyAlignment="1" applyProtection="1">
      <x:alignment horizontal="left" vertical="top"/>
      <x:protection locked="0"/>
    </x:xf>
    <x:xf numFmtId="0" fontId="7" fillId="0" borderId="0" xfId="3" applyNumberFormat="1" applyFill="1" applyBorder="1" applyAlignment="1">
      <x:alignment horizontal="left" vertical="top"/>
    </x:xf>
    <mc:AlternateContent xmlns:mc="http://schemas.openxmlformats.org/markup-compatibility/2006">
      <mc:Choice xmlns:hs="http://schemas.haansoft.com/office/spreadsheet/8.0" Requires="hs">
        <x:xf numFmtId="10" fontId="19" fillId="0"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19" fillId="0" borderId="5" xfId="1" applyNumberFormat="1" applyFont="1" applyFill="1" applyBorder="1" applyAlignment="1" applyProtection="1">
          <x:alignment horizontal="right" vertical="top"/>
          <x:protection locked="0"/>
        </x:xf>
      </mc:Fallback>
    </mc:AlternateContent>
    <x:xf numFmtId="0" fontId="36" fillId="17" borderId="18" xfId="5" applyNumberFormat="1" applyFont="1" applyFill="1" applyBorder="1" applyAlignment="1" applyProtection="1">
      <x:alignment horizontal="left" vertical="center"/>
    </x:xf>
    <x:xf numFmtId="0" fontId="38" fillId="0" borderId="0" xfId="5" applyNumberFormat="1" applyFont="1" applyFill="1" applyBorder="1" applyAlignment="1" applyProtection="1">
      <x:alignment horizontal="left" vertical="center"/>
    </x:xf>
    <mc:AlternateContent xmlns:mc="http://schemas.openxmlformats.org/markup-compatibility/2006">
      <mc:Choice xmlns:hs="http://schemas.haansoft.com/office/spreadsheet/8.0" Requires="hs">
        <x:xf numFmtId="10" fontId="37" fillId="3"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37" fillId="3" borderId="5"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0" fontId="19" fillId="19"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19" fillId="19" borderId="5"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0" fontId="37" fillId="19" borderId="5"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37" fillId="19" borderId="5" xfId="1" applyNumberFormat="1" applyFont="1" applyFill="1" applyBorder="1" applyAlignment="1" applyProtection="1">
          <x:alignment horizontal="right" vertical="top"/>
          <x:protection locked="0"/>
        </x:xf>
      </mc:Fallback>
    </mc:AlternateContent>
    <x:xf numFmtId="0" fontId="39" fillId="3" borderId="0" xfId="2" applyNumberFormat="1" applyFont="1" applyFill="1" applyBorder="1" applyAlignment="1">
      <x:alignment horizontal="left" vertical="center"/>
    </x:xf>
    <x:xf numFmtId="10" fontId="12" fillId="0" borderId="0" xfId="5" applyNumberFormat="1" applyFont="1" applyBorder="1">
      <x:alignment horizontal="general" vertical="bottom"/>
    </x:xf>
    <x:xf numFmtId="10" fontId="12" fillId="5" borderId="7" xfId="5" applyNumberFormat="1" applyFont="1" applyFill="1" applyBorder="1" applyAlignment="1">
      <x:alignment horizontal="left" vertical="bottom" wrapText="1"/>
    </x:xf>
    <x:xf numFmtId="0" fontId="12" fillId="5" borderId="7" xfId="5" applyNumberFormat="1" applyFont="1" applyFill="1" applyBorder="1" applyAlignment="1">
      <x:alignment horizontal="left" vertical="bottom" wrapText="1"/>
    </x:xf>
    <x:xf numFmtId="0" fontId="12" fillId="5" borderId="19" xfId="5" applyNumberFormat="1" applyFont="1" applyFill="1" applyBorder="1" applyAlignment="1">
      <x:alignment horizontal="left" vertical="bottom" wrapText="1"/>
    </x:xf>
    <x:xf numFmtId="0" fontId="12" fillId="0" borderId="0" xfId="5" quotePrefix="1" applyNumberFormat="1" applyFont="1" applyBorder="1">
      <x:alignment horizontal="general" vertical="bottom"/>
    </x:xf>
    <x:xf numFmtId="0" fontId="7" fillId="0" borderId="0" xfId="3" quotePrefix="1" applyNumberFormat="1" applyBorder="1">
      <x:alignment horizontal="general" vertical="bottom"/>
    </x:xf>
    <x:xf numFmtId="14" fontId="12" fillId="0" borderId="0" xfId="5" applyNumberFormat="1" applyFont="1" applyBorder="1">
      <x:alignment horizontal="general" vertical="bottom"/>
    </x:xf>
    <x:xf numFmtId="0" fontId="24" fillId="20" borderId="0" xfId="5" quotePrefix="1" applyNumberFormat="1" applyFont="1" applyFill="1" applyBorder="1">
      <x:alignment horizontal="general" vertical="bottom"/>
    </x:xf>
    <x:xf numFmtId="0" fontId="7" fillId="20" borderId="0" xfId="3" quotePrefix="1" applyNumberFormat="1" applyFill="1" applyBorder="1">
      <x:alignment horizontal="general" vertical="bottom"/>
    </x:xf>
    <x:xf numFmtId="0" fontId="12" fillId="20" borderId="0" xfId="5" quotePrefix="1" applyNumberFormat="1" applyFont="1" applyFill="1" applyBorder="1">
      <x:alignment horizontal="general" vertical="bottom"/>
    </x:xf>
    <x:xf numFmtId="14" fontId="12" fillId="20" borderId="0" xfId="5" applyNumberFormat="1" applyFont="1" applyFill="1" applyBorder="1">
      <x:alignment horizontal="general" vertical="bottom"/>
    </x:xf>
    <x:xf numFmtId="10" fontId="12" fillId="20" borderId="0" xfId="5" applyNumberFormat="1" applyFont="1" applyFill="1" applyBorder="1">
      <x:alignment horizontal="general" vertical="bottom"/>
    </x:xf>
    <x:xf numFmtId="0" fontId="12" fillId="20" borderId="0" xfId="5" applyNumberFormat="1" applyFont="1" applyFill="1" applyBorder="1">
      <x:alignment horizontal="general" vertical="bottom"/>
    </x:xf>
    <x:xf numFmtId="0" fontId="24" fillId="20" borderId="0" xfId="5" applyNumberFormat="1" applyFont="1" applyFill="1" applyBorder="1">
      <x:alignment horizontal="general" vertical="bottom"/>
    </x:xf>
    <x:xf numFmtId="0" fontId="12" fillId="20" borderId="0" xfId="5" applyNumberFormat="1" applyFont="1" applyFill="1" applyBorder="1">
      <x:alignment horizontal="general" vertical="bottom"/>
    </x:xf>
    <x:xf numFmtId="10" fontId="40" fillId="0" borderId="0" xfId="5" applyNumberFormat="1" applyFont="1" applyBorder="1">
      <x:alignment horizontal="general" vertical="bottom"/>
    </x:xf>
    <x:xf numFmtId="10" fontId="40" fillId="20" borderId="0" xfId="5" applyNumberFormat="1" applyFont="1" applyFill="1" applyBorder="1">
      <x:alignment horizontal="general" vertical="bottom"/>
    </x:xf>
    <mc:AlternateContent xmlns:mc="http://schemas.openxmlformats.org/markup-compatibility/2006">
      <mc:Choice xmlns:hs="http://schemas.haansoft.com/office/spreadsheet/8.0" Requires="hs">
        <x:xf numFmtId="0" fontId="41" fillId="16" borderId="20" xfId="0"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41" fillId="16" borderId="20" xfId="0"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41" fillId="16" borderId="11" xfId="0"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41" fillId="16" borderId="11" xfId="0"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41" fillId="16" borderId="21" xfId="0"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41" fillId="16" borderId="21" xfId="0"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41" fillId="16" borderId="22" xfId="0"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41" fillId="16" borderId="22" xfId="0" applyNumberFormat="1" applyFont="1" applyFill="1" applyBorder="1" applyAlignment="1">
          <x:alignment horizontal="center" vertical="center"/>
        </x:xf>
      </mc:Fallback>
    </mc:AlternateContent>
    <x:xf numFmtId="0" fontId="12" fillId="0" borderId="9" xfId="0" applyNumberFormat="1" applyFont="1" applyFill="1" applyBorder="1" applyAlignment="1" applyProtection="1">
      <x:alignment horizontal="left" vertical="top" wrapText="1"/>
      <x:protection locked="0"/>
    </x:xf>
    <x:xf numFmtId="0" fontId="12" fillId="0" borderId="9" xfId="0" applyNumberFormat="1" applyFont="1" applyFill="1" applyBorder="1" applyAlignment="1" applyProtection="1">
      <x:alignment horizontal="left" vertical="center" wrapText="1"/>
      <x:protection locked="0"/>
    </x:xf>
    <x:xf numFmtId="0" fontId="42" fillId="15" borderId="0" xfId="0" applyNumberFormat="1" applyFont="1" applyFill="1" applyAlignment="1">
      <x:alignment horizontal="left" vertical="top" wrapText="1"/>
    </x:xf>
    <mc:AlternateContent xmlns:mc="http://schemas.openxmlformats.org/markup-compatibility/2006">
      <mc:Choice xmlns:hs="http://schemas.haansoft.com/office/spreadsheet/8.0" Requires="hs">
        <x:xf numFmtId="0" fontId="43" fillId="16" borderId="11" xfId="3" applyNumberFormat="1" applyFont="1" applyFill="1" applyBorder="1" applyAlignment="1" hs:applyExtension="1">
          <x:alignment horizontal="right" vertical="bottom"/>
          <hs:parashape hs:lineSpacingType="betweenLines" hs:lineSpacing="75" hs:breakNonLatinWord="breakWord" hs:breakLatinWord="keepWord" hs:condense="0" hs:textAlignment="baseLine"/>
        </x:xf>
      </mc:Choice>
      <mc:Fallback>
        <x:xf numFmtId="0" fontId="43" fillId="16" borderId="11" xfId="3" applyNumberFormat="1" applyFont="1" applyFill="1" applyBorder="1" applyAlignment="1">
          <x:alignment horizontal="right" vertical="bottom"/>
        </x:xf>
      </mc:Fallback>
    </mc:AlternateContent>
    <mc:AlternateContent xmlns:mc="http://schemas.openxmlformats.org/markup-compatibility/2006">
      <mc:Choice xmlns:hs="http://schemas.haansoft.com/office/spreadsheet/8.0" Requires="hs">
        <x:xf numFmtId="0" fontId="0" fillId="16" borderId="11" xfId="0" applyNumberFormat="1" applyFill="1" applyBorder="1" applyAlignment="1" hs:applyExtension="1">
          <x:alignment horizontal="right" vertical="bottom"/>
          <hs:parashape hs:lineSpacingType="betweenLines" hs:lineSpacing="75" hs:breakNonLatinWord="breakWord" hs:breakLatinWord="keepWord" hs:condense="0" hs:textAlignment="baseLine"/>
        </x:xf>
      </mc:Choice>
      <mc:Fallback>
        <x:xf numFmtId="0" fontId="0" fillId="16" borderId="11" xfId="0" applyNumberFormat="1" applyFill="1" applyBorder="1" applyAlignment="1">
          <x:alignment horizontal="right" vertical="bottom"/>
        </x:xf>
      </mc:Fallback>
    </mc:AlternateContent>
    <x:xf numFmtId="0" fontId="22" fillId="0" borderId="0" xfId="0" applyNumberFormat="1" applyFont="1" applyFill="1" applyAlignment="1">
      <x:alignment horizontal="left" vertical="top" wrapText="1"/>
    </x:xf>
    <x:xf numFmtId="0" fontId="12" fillId="0" borderId="6" xfId="0" applyNumberFormat="1" applyFont="1" applyFill="1" applyBorder="1" applyAlignment="1" applyProtection="1">
      <x:alignment horizontal="left" vertical="center" wrapText="1"/>
      <x:protection locked="0"/>
    </x:xf>
    <x:xf numFmtId="0" fontId="44" fillId="16" borderId="22" xfId="3" applyNumberFormat="1" applyFont="1" applyFill="1" applyBorder="1" applyAlignment="1">
      <x:alignment horizontal="general" vertical="center"/>
    </x:xf>
    <x:xf numFmtId="0" fontId="0" fillId="16" borderId="22" xfId="0" applyNumberFormat="1" applyFill="1" applyBorder="1" applyAlignment="1">
      <x:alignment horizontal="general" vertical="center"/>
    </x:xf>
    <mc:AlternateContent xmlns:mc="http://schemas.openxmlformats.org/markup-compatibility/2006">
      <mc:Choice xmlns:hs="http://schemas.haansoft.com/office/spreadsheet/8.0" Requires="hs">
        <x:xf numFmtId="10" fontId="18" fillId="14" borderId="19"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18" fillId="14" borderId="19"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0" fontId="18" fillId="21" borderId="19"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18" fillId="21" borderId="19"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0" fontId="18" fillId="17" borderId="7"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18" fillId="17" borderId="7"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0" fontId="18" fillId="21" borderId="7"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18" fillId="21" borderId="7"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4" fontId="18" fillId="14"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8" fillId="14"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18" fillId="2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8" fillId="2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2" borderId="4"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18" fillId="22" borderId="4"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18" fillId="22" borderId="0"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18" fillId="22" borderId="0"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18" fillId="22"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22"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2" borderId="23"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22" borderId="23"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2"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18" fillId="22"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18" fillId="17"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17"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2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14" borderId="19"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14" borderId="19"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1" borderId="0"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21" borderId="0"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1" borderId="19"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21" borderId="19"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64" fontId="18" fillId="14"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64" fontId="18" fillId="14"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64" fontId="18" fillId="2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64" fontId="18" fillId="2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14"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14"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33" fillId="3" borderId="0" xfId="4"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0" fontId="33" fillId="3" borderId="0" xfId="4" applyNumberFormat="1" applyFont="1" applyFill="1" applyBorder="1" applyAlignment="1">
          <x:alignment horizontal="center" vertical="center" wrapText="1"/>
        </x:xf>
      </mc:Fallback>
    </mc:AlternateContent>
    <mc:AlternateContent xmlns:mc="http://schemas.openxmlformats.org/markup-compatibility/2006">
      <mc:Choice xmlns:hs="http://schemas.haansoft.com/office/spreadsheet/8.0" Requires="hs">
        <x:xf numFmtId="166" fontId="18" fillId="17"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6" fontId="18" fillId="17"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6" fontId="18" fillId="21"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6" fontId="18" fillId="21"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4" fontId="18" fillId="14"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4" fontId="18" fillId="14"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 fontId="18" fillId="17"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 fontId="18" fillId="17"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 fontId="18" fillId="21"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 fontId="18" fillId="21"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18" fillId="14"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14"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18" fillId="2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18" fillId="2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66" fontId="18" fillId="17" borderId="7" xfId="5" applyNumberFormat="1" applyFont="1" applyFill="1" applyBorder="1" applyAlignment="1" applyProtection="1" hs:applyExtension="1">
          <x:alignment horizontal="center" vertical="top" wrapText="1"/>
          <hs:parashape hs:lineSpacingType="betweenLines" hs:lineSpacing="75" hs:breakNonLatinWord="breakWord" hs:breakLatinWord="keepWord" hs:condense="0" hs:textAlignment="baseLine"/>
        </x:xf>
      </mc:Choice>
      <mc:Fallback>
        <x:xf numFmtId="166" fontId="18" fillId="17" borderId="7" xfId="5" applyNumberFormat="1" applyFont="1" applyFill="1" applyBorder="1" applyAlignment="1" applyProtection="1">
          <x:alignment horizontal="center" vertical="top" wrapText="1"/>
        </x:xf>
      </mc:Fallback>
    </mc:AlternateContent>
    <mc:AlternateContent xmlns:mc="http://schemas.openxmlformats.org/markup-compatibility/2006">
      <mc:Choice xmlns:hs="http://schemas.haansoft.com/office/spreadsheet/8.0" Requires="hs">
        <x:xf numFmtId="166" fontId="18" fillId="21" borderId="7" xfId="5" applyNumberFormat="1" applyFont="1" applyFill="1" applyBorder="1" applyAlignment="1" applyProtection="1" hs:applyExtension="1">
          <x:alignment horizontal="center" vertical="top" wrapText="1"/>
          <hs:parashape hs:lineSpacingType="betweenLines" hs:lineSpacing="75" hs:breakNonLatinWord="breakWord" hs:breakLatinWord="keepWord" hs:condense="0" hs:textAlignment="baseLine"/>
        </x:xf>
      </mc:Choice>
      <mc:Fallback>
        <x:xf numFmtId="166" fontId="18" fillId="21" borderId="7" xfId="5" applyNumberFormat="1" applyFont="1" applyFill="1" applyBorder="1" applyAlignment="1" applyProtection="1">
          <x:alignment horizontal="center" vertical="top" wrapText="1"/>
        </x:xf>
      </mc:Fallback>
    </mc:AlternateContent>
    <mc:AlternateContent xmlns:mc="http://schemas.openxmlformats.org/markup-compatibility/2006">
      <mc:Choice xmlns:hs="http://schemas.haansoft.com/office/spreadsheet/8.0" Requires="hs">
        <x:xf numFmtId="165" fontId="18" fillId="17"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5" fontId="18" fillId="17"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5" fontId="18" fillId="21"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5" fontId="18" fillId="21" borderId="7" xfId="5" applyNumberFormat="1" applyFont="1" applyFill="1" applyBorder="1" applyAlignment="1" applyProtection="1">
          <x:alignment horizontal="center" vertical="center" wrapText="1"/>
        </x:xf>
      </mc:Fallback>
    </mc:AlternateContent>
    <x:xf numFmtId="0" fontId="45" fillId="17" borderId="13" xfId="2" applyNumberFormat="1" applyFont="1" applyFill="1" applyBorder="1" applyAlignment="1">
      <x:alignment horizontal="left" vertical="center" wrapText="1"/>
    </x:xf>
    <x:xf numFmtId="0" fontId="45" fillId="17" borderId="13" xfId="2" applyNumberFormat="1" applyFont="1" applyFill="1" applyBorder="1" applyAlignment="1">
      <x:alignment horizontal="left" vertical="center"/>
    </x:xf>
    <x:xf numFmtId="0" fontId="39" fillId="3" borderId="0" xfId="2" applyNumberFormat="1" applyFont="1" applyFill="1" applyBorder="1" applyAlignment="1">
      <x:alignment horizontal="left" vertical="center"/>
    </x:xf>
    <x:xf numFmtId="0" fontId="45" fillId="17" borderId="18" xfId="2" applyNumberFormat="1" applyFont="1" applyFill="1" applyBorder="1" applyAlignment="1">
      <x:alignment horizontal="left" vertical="center"/>
    </x:xf>
    <x:xf numFmtId="0" fontId="45" fillId="17" borderId="12" xfId="2" applyNumberFormat="1" applyFont="1" applyFill="1" applyBorder="1" applyAlignment="1">
      <x:alignment horizontal="left" vertical="center" wrapText="1"/>
    </x:xf>
    <x:xf numFmtId="0" fontId="13" fillId="0" borderId="0" xfId="5" applyNumberFormat="1" applyFont="1" applyFill="1" applyBorder="1" applyAlignment="1" applyProtection="1">
      <x:alignment horizontal="left" vertical="center" wrapText="1"/>
      <x:protection locked="0"/>
    </x:xf>
    <x:xf numFmtId="0" fontId="13" fillId="0" borderId="0" xfId="5" applyNumberFormat="1" applyFont="1" applyFill="1" applyBorder="1" applyAlignment="1" applyProtection="1">
      <x:alignment horizontal="left" vertical="center"/>
      <x:protection locked="0"/>
    </x:xf>
    <x:xf numFmtId="0" fontId="9" fillId="0" borderId="0" xfId="2" applyNumberFormat="1" applyFont="1" applyFill="1" applyBorder="1" applyAlignment="1">
      <x:alignment horizontal="left" vertical="center"/>
    </x:xf>
    <x:xf numFmtId="0" fontId="10" fillId="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15" fillId="3" borderId="0" xfId="5" applyNumberFormat="1" applyFont="1" applyFill="1" applyBorder="1" applyAlignment="1" applyProtection="1" hs:applyExtension="1">
          <x:alignment horizontal="right" vertical="center"/>
          <hs:parashape hs:lineSpacingType="betweenLines" hs:lineSpacing="75" hs:breakNonLatinWord="breakWord" hs:breakLatinWord="keepWord" hs:condense="0" hs:textAlignment="baseLine"/>
        </x:xf>
      </mc:Choice>
      <mc:Fallback>
        <x:xf numFmtId="14" fontId="15" fillId="3" borderId="0" xfId="5" applyNumberFormat="1" applyFont="1" applyFill="1" applyBorder="1" applyAlignment="1" applyProtection="1">
          <x:alignment horizontal="right" vertical="center"/>
        </x:xf>
      </mc:Fallback>
    </mc:AlternateContent>
    <x:xf numFmtId="14" fontId="12" fillId="3" borderId="0" xfId="5" applyNumberFormat="1" applyFont="1" applyFill="1" applyBorder="1" applyAlignment="1" applyProtection="1">
      <x:alignment horizontal="left" vertical="top" wrapText="1"/>
    </x:xf>
    <mc:AlternateContent xmlns:mc="http://schemas.openxmlformats.org/markup-compatibility/2006">
      <mc:Choice xmlns:hs="http://schemas.haansoft.com/office/spreadsheet/8.0" Requires="hs">
        <x:xf numFmtId="14" fontId="46" fillId="8" borderId="5"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14" fontId="46" fillId="8" borderId="5" xfId="5" applyNumberFormat="1" applyFont="1" applyFill="1" applyBorder="1" applyAlignment="1" applyProtection="1">
          <x:alignment horizontal="center" vertical="center"/>
          <x:protection locked="0"/>
        </x:xf>
      </mc:Fallback>
    </mc:AlternateContent>
  </x:cellXfs>
  <x:cellStyles count="7">
    <x:cellStyle name="표준" xfId="0" builtinId="0"/>
    <x:cellStyle name="백분율" xfId="1" builtinId="5"/>
    <x:cellStyle name="강조색5 2" xfId="2"/>
    <x:cellStyle name="하이퍼링크" xfId="3" builtinId="8"/>
    <x:cellStyle name="백분율 2" xfId="4"/>
    <x:cellStyle name="표준 2" xfId="5"/>
    <x:cellStyle name="표준 2 2" xfId="6"/>
  </x:cellStyles>
  <x:dxfs count="15">
    <mc:AlternateContent xmlns:mc="http://schemas.openxmlformats.org/markup-compatibility/2006">
      <mc:Choice xmlns:hs="http://schemas.haansoft.com/office/spreadsheet/8.0" Requires="hs">
        <x:dxf hs:applyExtension="1">
          <x:font hs:extension="1">
            <x:color rgb="ff00000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size val="0"/>
            <hs:ratio val="0"/>
            <hs:spacing val="0"/>
            <hs:offset val="0"/>
          </x:font>
          <x:border>
            <x:left>
              <x:color indexed="64"/>
            </x:left>
            <x:right>
              <x:color indexed="64"/>
            </x:right>
            <x:top style="medium">
              <x:color rgb="ff6182d6"/>
            </x:top>
            <x:bottom style="medium">
              <x:color rgb="ff6182d6"/>
            </x:bottom>
            <x:vertical>
              <x:color indexed="64"/>
            </x:vertical>
            <x:horizontal>
              <x:color indexed="64"/>
            </x:horizontal>
          </x:border>
        </x:dxf>
      </mc:Choice>
      <mc:Fallback>
        <x:dxf>
          <x:font>
            <x:color rgb="ff000000"/>
          </x:font>
          <x:border>
            <x:left>
              <x:color indexed="64"/>
            </x:left>
            <x:right>
              <x:color indexed="64"/>
            </x:right>
            <x:top style="medium">
              <x:color rgb="ff6182d6"/>
            </x:top>
            <x:bottom style="medium">
              <x:color rgb="ff6182d6"/>
            </x:bottom>
            <x:vertical>
              <x:color indexed="64"/>
            </x:vertical>
            <x:horizontal>
              <x:color indexed="64"/>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bottom style="medium">
              <x:color rgb="ff6182d6"/>
            </x:bottom>
          </x:border>
        </x:dxf>
      </mc:Choice>
      <mc:Fallback>
        <x:dxf>
          <x:font>
            <x:b val="1"/>
          </x:font>
          <x:border>
            <x:bottom style="medium">
              <x:color rgb="ff6182d6"/>
            </x:bottom>
          </x:border>
        </x:dxf>
      </mc:Fallback>
    </mc:AlternateContent>
    <x:dxf>
      <x:fill>
        <x:patternFill>
          <x:bgColor rgb="ffffc000"/>
        </x:patternFill>
      </x:fill>
    </x:dxf>
    <mc:AlternateContent xmlns:mc="http://schemas.openxmlformats.org/markup-compatibility/2006">
      <mc:Choice xmlns:hs="http://schemas.haansoft.com/office/spreadsheet/8.0" Requires="hs">
        <x:dxf hs:applyExtension="1">
          <x:font hs:extension="1">
            <x:b val="1"/>
            <hs:useFontSpace val="0"/>
            <hs:size val="0"/>
            <hs:ratio val="0"/>
            <hs:spacing val="0"/>
            <hs:offset val="0"/>
          </x:font>
          <x:fill>
            <x:patternFill>
              <x:bgColor rgb="fff2f2f2"/>
            </x:patternFill>
          </x:fill>
          <x:border>
            <x:left style="thin">
              <x:color rgb="ffd9d9d9"/>
            </x:left>
            <x:right style="thin">
              <x:color rgb="ffd9d9d9"/>
            </x:right>
            <x:top style="thin">
              <x:color rgb="ffd9d9d9"/>
            </x:top>
            <x:bottom style="thin">
              <x:color rgb="ffd9d9d9"/>
            </x:bottom>
          </x:border>
        </x:dxf>
      </mc:Choice>
      <mc:Fallback>
        <x:dxf>
          <x:font>
            <x:b val="1"/>
          </x:font>
          <x:fill>
            <x:patternFill>
              <x:bgColor rgb="fff2f2f2"/>
            </x:patternFill>
          </x:fill>
          <x:border>
            <x:left style="thin">
              <x:color rgb="ffd9d9d9"/>
            </x:left>
            <x:right style="thin">
              <x:color rgb="ffd9d9d9"/>
            </x:right>
            <x:top style="thin">
              <x:color rgb="ffd9d9d9"/>
            </x:top>
            <x:bottom style="thin">
              <x:color rgb="ffd9d9d9"/>
            </x:bottom>
          </x:border>
        </x:dxf>
      </mc:Fallback>
    </mc:AlternateContent>
    <mc:AlternateContent xmlns:mc="http://schemas.openxmlformats.org/markup-compatibility/2006">
      <mc:Choice xmlns:hs="http://schemas.haansoft.com/office/spreadsheet/8.0" Requires="hs">
        <x:dxf hs:applyExtension="1">
          <x:font hs:extension="1">
            <x:color rgb="ffa6a6a6"/>
            <hs:useFontSpace val="0"/>
            <hs:size val="0"/>
            <hs:ratio val="0"/>
            <hs:spacing val="0"/>
            <hs:offset val="0"/>
          </x:font>
        </x:dxf>
      </mc:Choice>
      <mc:Fallback>
        <x:dxf>
          <x:font>
            <x:color rgb="ffa6a6a6"/>
          </x:font>
        </x:dxf>
      </mc:Fallback>
    </mc:AlternateContent>
  </x:dxfs>
  <x:tableStyles count="3" defaultTableStyle="TableStyleMedium2" defaultPivotStyle="PivotStyleLight16">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 name="Invisible" pivot="0" table="1" count="0"/>
  </x:tableStyles>
</x:styleSheet>
</file>

<file path=xl/_rels/workbook.xml.rels><?xml version="1.0" encoding="UTF-8" standalone="yes" ?><Relationships xmlns="http://schemas.openxmlformats.org/package/2006/relationships"><Relationship Id="rId1" Type="http://schemas.openxmlformats.org/officeDocument/2006/relationships/theme" Target="theme/theme1.xml"  /><Relationship Id="rId10" Type="http://schemas.openxmlformats.org/officeDocument/2006/relationships/worksheet" Target="worksheets/sheet7.xml"  /><Relationship Id="rId11" Type="http://schemas.openxmlformats.org/officeDocument/2006/relationships/worksheet" Target="worksheets/sheet8.xml"  /><Relationship Id="rId12" Type="http://schemas.openxmlformats.org/officeDocument/2006/relationships/worksheet" Target="worksheets/sheet9.xml"  /><Relationship Id="rId13" Type="http://schemas.microsoft.com/office/2006/relationships/vbaProject" Target="vbaProject.bin"  /><Relationship Id="rId2" Type="http://schemas.openxmlformats.org/officeDocument/2006/relationships/styles" Target="styles.xml"  /><Relationship Id="rId3" Type="http://schemas.openxmlformats.org/officeDocument/2006/relationships/sharedStrings" Target="sharedStrings.xml"  /><Relationship Id="rId4" Type="http://schemas.openxmlformats.org/officeDocument/2006/relationships/worksheet" Target="worksheets/sheet1.xml"  /><Relationship Id="rId5" Type="http://schemas.openxmlformats.org/officeDocument/2006/relationships/worksheet" Target="worksheets/sheet2.xml"  /><Relationship Id="rId6" Type="http://schemas.openxmlformats.org/officeDocument/2006/relationships/worksheet" Target="worksheets/sheet3.xml"  /><Relationship Id="rId7" Type="http://schemas.openxmlformats.org/officeDocument/2006/relationships/worksheet" Target="worksheets/sheet4.xml"  /><Relationship Id="rId8" Type="http://schemas.openxmlformats.org/officeDocument/2006/relationships/worksheet" Target="worksheets/sheet5.xml"  /><Relationship Id="rId9" Type="http://schemas.openxmlformats.org/officeDocument/2006/relationships/worksheet" Target="worksheets/sheet6.xml"  /></Relationships>
</file>

<file path=xl/drawings/drawing5.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3</xdr:col>
      <xdr:colOff>19050</xdr:colOff>
      <xdr:row>0</xdr:row>
      <xdr:rowOff>19050</xdr:rowOff>
    </xdr:from>
    <xdr:to>
      <xdr:col>3</xdr:col>
      <xdr:colOff>19050</xdr:colOff>
      <xdr:row>0</xdr:row>
      <xdr:rowOff>19050</xdr:rowOff>
    </xdr:to>
    <xdr:cxnSp fPublished="0">
      <xdr:nvCxnSpPr>
        <xdr:cNvPr id="3823" name="연결선: 꺾임 3822"/>
        <xdr:cNvCxnSpPr/>
      </xdr:nvCxnSpPr>
      <xdr:spPr>
        <a:xfrm>
          <a:off x="19050" y="19050"/>
          <a:ext cx="0" cy="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xdr:col>
      <xdr:colOff>19050</xdr:colOff>
      <xdr:row>0</xdr:row>
      <xdr:rowOff>19050</xdr:rowOff>
    </xdr:from>
    <xdr:to>
      <xdr:col>3</xdr:col>
      <xdr:colOff>19050</xdr:colOff>
      <xdr:row>0</xdr:row>
      <xdr:rowOff>19050</xdr:rowOff>
    </xdr:to>
    <xdr:cxnSp fPublished="0">
      <xdr:nvCxnSpPr>
        <xdr:cNvPr id="14008" name="연결선: 꺾임 14007"/>
        <xdr:cNvCxnSpPr/>
      </xdr:nvCxnSpPr>
      <xdr:spPr>
        <a:xfrm>
          <a:off x="19050" y="19050"/>
          <a:ext cx="0" cy="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xdr:col>
      <xdr:colOff>19050</xdr:colOff>
      <xdr:row>0</xdr:row>
      <xdr:rowOff>19050</xdr:rowOff>
    </xdr:from>
    <xdr:to>
      <xdr:col>3</xdr:col>
      <xdr:colOff>19050</xdr:colOff>
      <xdr:row>0</xdr:row>
      <xdr:rowOff>19050</xdr:rowOff>
    </xdr:to>
    <xdr:cxnSp fPublished="0">
      <xdr:nvCxnSpPr>
        <xdr:cNvPr id="23033" name="연결선: 꺾임 23032"/>
        <xdr:cNvCxnSpPr/>
      </xdr:nvCxnSpPr>
      <xdr:spPr>
        <a:xfrm>
          <a:off x="19050" y="19050"/>
          <a:ext cx="0" cy="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xdr:col>
      <xdr:colOff>19050</xdr:colOff>
      <xdr:row>0</xdr:row>
      <xdr:rowOff>19050</xdr:rowOff>
    </xdr:from>
    <xdr:to>
      <xdr:col>3</xdr:col>
      <xdr:colOff>19050</xdr:colOff>
      <xdr:row>0</xdr:row>
      <xdr:rowOff>19050</xdr:rowOff>
    </xdr:to>
    <xdr:cxnSp fPublished="0">
      <xdr:nvCxnSpPr>
        <xdr:cNvPr id="23038" name="연결선: 꺾임 23037"/>
        <xdr:cNvCxnSpPr/>
      </xdr:nvCxnSpPr>
      <xdr:spPr>
        <a:xfrm>
          <a:off x="19050" y="19050"/>
          <a:ext cx="0" cy="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47</xdr:col>
      <xdr:colOff>0</xdr:colOff>
      <xdr:row>3</xdr:row>
      <xdr:rowOff>66675</xdr:rowOff>
    </xdr:from>
    <xdr:to>
      <xdr:col>47</xdr:col>
      <xdr:colOff>0</xdr:colOff>
      <xdr:row>48</xdr:row>
      <xdr:rowOff>0</xdr:rowOff>
    </xdr:to>
    <xdr:cxnSp fPublished="0">
      <xdr:nvCxnSpPr>
        <xdr:cNvPr id="2" name="직선 화살표 연결선 1"/>
        <xdr:cNvCxnSpPr/>
      </xdr:nvCxnSpPr>
      <xdr:spPr>
        <a:xfrm>
          <a:off x="12344400" y="752475"/>
          <a:ext cx="0" cy="6715125"/>
        </a:xfrm>
        <a:prstGeom prst="straightConnector1">
          <a:avLst/>
        </a:prstGeom>
        <a:ln w="6350">
          <a:solidFill>
            <a:srgbClr val="bfbfbf"/>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66675</xdr:colOff>
      <xdr:row>3</xdr:row>
      <xdr:rowOff>66675</xdr:rowOff>
    </xdr:from>
    <xdr:to>
      <xdr:col>33</xdr:col>
      <xdr:colOff>66675</xdr:colOff>
      <xdr:row>48</xdr:row>
      <xdr:rowOff>0</xdr:rowOff>
    </xdr:to>
    <xdr:cxnSp fPublished="0">
      <xdr:nvCxnSpPr>
        <xdr:cNvPr id="3" name="직선 화살표 연결선 2"/>
        <xdr:cNvCxnSpPr/>
      </xdr:nvCxnSpPr>
      <xdr:spPr>
        <a:xfrm>
          <a:off x="10410825" y="752475"/>
          <a:ext cx="0" cy="6715125"/>
        </a:xfrm>
        <a:prstGeom prst="straightConnector1">
          <a:avLst/>
        </a:prstGeom>
        <a:ln w="6350">
          <a:solidFill>
            <a:srgbClr val="ff0000"/>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85724</xdr:colOff>
      <xdr:row>47</xdr:row>
      <xdr:rowOff>19050</xdr:rowOff>
    </xdr:from>
    <xdr:to>
      <xdr:col>50</xdr:col>
      <xdr:colOff>9525</xdr:colOff>
      <xdr:row>47</xdr:row>
      <xdr:rowOff>133350</xdr:rowOff>
    </xdr:to>
    <xdr:sp fLocksText="1" fPublished="0">
      <xdr:nvSpPr>
        <xdr:cNvPr id="5" name="51"/>
        <xdr:cNvSpPr/>
      </xdr:nvSpPr>
      <xdr:spPr>
        <a:xfrm>
          <a:off x="12715875" y="7334250"/>
          <a:ext cx="666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49</xdr:col>
      <xdr:colOff>85724</xdr:colOff>
      <xdr:row>47</xdr:row>
      <xdr:rowOff>76200</xdr:rowOff>
    </xdr:from>
    <xdr:to>
      <xdr:col>49</xdr:col>
      <xdr:colOff>85724</xdr:colOff>
      <xdr:row>47</xdr:row>
      <xdr:rowOff>76200</xdr:rowOff>
    </xdr:to>
    <xdr:cxnSp fPublished="0">
      <xdr:nvCxnSpPr>
        <xdr:cNvPr id="6" name="직선 화살표 연결선 5"/>
        <xdr:cNvCxnSpPr/>
      </xdr:nvCxnSpPr>
      <xdr:spPr>
        <a:xfrm>
          <a:off x="12715875" y="73914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85724</xdr:colOff>
      <xdr:row>46</xdr:row>
      <xdr:rowOff>19050</xdr:rowOff>
    </xdr:from>
    <xdr:to>
      <xdr:col>50</xdr:col>
      <xdr:colOff>9525</xdr:colOff>
      <xdr:row>46</xdr:row>
      <xdr:rowOff>133350</xdr:rowOff>
    </xdr:to>
    <xdr:sp fLocksText="1" fPublished="0">
      <xdr:nvSpPr>
        <xdr:cNvPr id="7" name="50"/>
        <xdr:cNvSpPr/>
      </xdr:nvSpPr>
      <xdr:spPr>
        <a:xfrm>
          <a:off x="12715875" y="7181850"/>
          <a:ext cx="666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49</xdr:col>
      <xdr:colOff>85724</xdr:colOff>
      <xdr:row>46</xdr:row>
      <xdr:rowOff>76200</xdr:rowOff>
    </xdr:from>
    <xdr:to>
      <xdr:col>49</xdr:col>
      <xdr:colOff>85724</xdr:colOff>
      <xdr:row>46</xdr:row>
      <xdr:rowOff>76200</xdr:rowOff>
    </xdr:to>
    <xdr:cxnSp fPublished="0">
      <xdr:nvCxnSpPr>
        <xdr:cNvPr id="8" name="직선 화살표 연결선 7"/>
        <xdr:cNvCxnSpPr/>
      </xdr:nvCxnSpPr>
      <xdr:spPr>
        <a:xfrm>
          <a:off x="12715875" y="72390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85724</xdr:colOff>
      <xdr:row>45</xdr:row>
      <xdr:rowOff>19050</xdr:rowOff>
    </xdr:from>
    <xdr:to>
      <xdr:col>50</xdr:col>
      <xdr:colOff>9525</xdr:colOff>
      <xdr:row>45</xdr:row>
      <xdr:rowOff>133350</xdr:rowOff>
    </xdr:to>
    <xdr:sp fLocksText="1" fPublished="0">
      <xdr:nvSpPr>
        <xdr:cNvPr id="9" name="49"/>
        <xdr:cNvSpPr/>
      </xdr:nvSpPr>
      <xdr:spPr>
        <a:xfrm>
          <a:off x="12715875" y="7029450"/>
          <a:ext cx="666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49</xdr:col>
      <xdr:colOff>85724</xdr:colOff>
      <xdr:row>45</xdr:row>
      <xdr:rowOff>76200</xdr:rowOff>
    </xdr:from>
    <xdr:to>
      <xdr:col>49</xdr:col>
      <xdr:colOff>85724</xdr:colOff>
      <xdr:row>45</xdr:row>
      <xdr:rowOff>76200</xdr:rowOff>
    </xdr:to>
    <xdr:cxnSp fPublished="0">
      <xdr:nvCxnSpPr>
        <xdr:cNvPr id="10" name="직선 화살표 연결선 9"/>
        <xdr:cNvCxnSpPr/>
      </xdr:nvCxnSpPr>
      <xdr:spPr>
        <a:xfrm>
          <a:off x="12715875" y="70866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85724</xdr:colOff>
      <xdr:row>44</xdr:row>
      <xdr:rowOff>19050</xdr:rowOff>
    </xdr:from>
    <xdr:to>
      <xdr:col>50</xdr:col>
      <xdr:colOff>28575</xdr:colOff>
      <xdr:row>44</xdr:row>
      <xdr:rowOff>133350</xdr:rowOff>
    </xdr:to>
    <xdr:sp fLocksText="1" fPublished="0">
      <xdr:nvSpPr>
        <xdr:cNvPr id="11" name="48"/>
        <xdr:cNvSpPr/>
      </xdr:nvSpPr>
      <xdr:spPr>
        <a:xfrm>
          <a:off x="12715875" y="6877050"/>
          <a:ext cx="857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49</xdr:col>
      <xdr:colOff>85724</xdr:colOff>
      <xdr:row>44</xdr:row>
      <xdr:rowOff>76200</xdr:rowOff>
    </xdr:from>
    <xdr:to>
      <xdr:col>49</xdr:col>
      <xdr:colOff>85724</xdr:colOff>
      <xdr:row>44</xdr:row>
      <xdr:rowOff>76200</xdr:rowOff>
    </xdr:to>
    <xdr:cxnSp fPublished="0">
      <xdr:nvCxnSpPr>
        <xdr:cNvPr id="12" name="직선 화살표 연결선 11"/>
        <xdr:cNvCxnSpPr/>
      </xdr:nvCxnSpPr>
      <xdr:spPr>
        <a:xfrm>
          <a:off x="12715875" y="69342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0</xdr:colOff>
      <xdr:row>43</xdr:row>
      <xdr:rowOff>19050</xdr:rowOff>
    </xdr:from>
    <xdr:to>
      <xdr:col>48</xdr:col>
      <xdr:colOff>104775</xdr:colOff>
      <xdr:row>43</xdr:row>
      <xdr:rowOff>133350</xdr:rowOff>
    </xdr:to>
    <xdr:sp fLocksText="1" fPublished="0">
      <xdr:nvSpPr>
        <xdr:cNvPr id="21" name="43"/>
        <xdr:cNvSpPr/>
      </xdr:nvSpPr>
      <xdr:spPr>
        <a:xfrm>
          <a:off x="12201525" y="6724650"/>
          <a:ext cx="3905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46</xdr:col>
      <xdr:colOff>0</xdr:colOff>
      <xdr:row>43</xdr:row>
      <xdr:rowOff>76200</xdr:rowOff>
    </xdr:from>
    <xdr:to>
      <xdr:col>46</xdr:col>
      <xdr:colOff>0</xdr:colOff>
      <xdr:row>43</xdr:row>
      <xdr:rowOff>76200</xdr:rowOff>
    </xdr:to>
    <xdr:cxnSp fPublished="0">
      <xdr:nvCxnSpPr>
        <xdr:cNvPr id="22" name="직선 화살표 연결선 21"/>
        <xdr:cNvCxnSpPr/>
      </xdr:nvCxnSpPr>
      <xdr:spPr>
        <a:xfrm>
          <a:off x="12201525" y="67818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0</xdr:colOff>
      <xdr:row>42</xdr:row>
      <xdr:rowOff>19050</xdr:rowOff>
    </xdr:from>
    <xdr:to>
      <xdr:col>49</xdr:col>
      <xdr:colOff>104775</xdr:colOff>
      <xdr:row>42</xdr:row>
      <xdr:rowOff>133350</xdr:rowOff>
    </xdr:to>
    <xdr:sp fLocksText="1" fPublished="0">
      <xdr:nvSpPr>
        <xdr:cNvPr id="23" name="42"/>
        <xdr:cNvSpPr/>
      </xdr:nvSpPr>
      <xdr:spPr>
        <a:xfrm>
          <a:off x="12201525" y="6572250"/>
          <a:ext cx="533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46</xdr:col>
      <xdr:colOff>0</xdr:colOff>
      <xdr:row>42</xdr:row>
      <xdr:rowOff>76200</xdr:rowOff>
    </xdr:from>
    <xdr:to>
      <xdr:col>46</xdr:col>
      <xdr:colOff>0</xdr:colOff>
      <xdr:row>42</xdr:row>
      <xdr:rowOff>76200</xdr:rowOff>
    </xdr:to>
    <xdr:cxnSp fPublished="0">
      <xdr:nvCxnSpPr>
        <xdr:cNvPr id="24" name="직선 화살표 연결선 23"/>
        <xdr:cNvCxnSpPr/>
      </xdr:nvCxnSpPr>
      <xdr:spPr>
        <a:xfrm>
          <a:off x="12201525" y="66294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40</xdr:col>
      <xdr:colOff>0</xdr:colOff>
      <xdr:row>39</xdr:row>
      <xdr:rowOff>19050</xdr:rowOff>
    </xdr:from>
    <xdr:to>
      <xdr:col>48</xdr:col>
      <xdr:colOff>85724</xdr:colOff>
      <xdr:row>39</xdr:row>
      <xdr:rowOff>133350</xdr:rowOff>
    </xdr:to>
    <xdr:sp fLocksText="1" fPublished="0">
      <xdr:nvSpPr>
        <xdr:cNvPr id="39" name="34"/>
        <xdr:cNvSpPr/>
      </xdr:nvSpPr>
      <xdr:spPr>
        <a:xfrm>
          <a:off x="11344275" y="6115050"/>
          <a:ext cx="12287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40</xdr:col>
      <xdr:colOff>0</xdr:colOff>
      <xdr:row>39</xdr:row>
      <xdr:rowOff>76200</xdr:rowOff>
    </xdr:from>
    <xdr:to>
      <xdr:col>40</xdr:col>
      <xdr:colOff>0</xdr:colOff>
      <xdr:row>39</xdr:row>
      <xdr:rowOff>76200</xdr:rowOff>
    </xdr:to>
    <xdr:cxnSp fPublished="0">
      <xdr:nvCxnSpPr>
        <xdr:cNvPr id="40" name="직선 화살표 연결선 39"/>
        <xdr:cNvCxnSpPr/>
      </xdr:nvCxnSpPr>
      <xdr:spPr>
        <a:xfrm>
          <a:off x="11344275" y="61722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40</xdr:col>
      <xdr:colOff>0</xdr:colOff>
      <xdr:row>38</xdr:row>
      <xdr:rowOff>19050</xdr:rowOff>
    </xdr:from>
    <xdr:to>
      <xdr:col>40</xdr:col>
      <xdr:colOff>104775</xdr:colOff>
      <xdr:row>38</xdr:row>
      <xdr:rowOff>133350</xdr:rowOff>
    </xdr:to>
    <xdr:sp fLocksText="1" fPublished="0">
      <xdr:nvSpPr>
        <xdr:cNvPr id="41" name="33"/>
        <xdr:cNvSpPr/>
      </xdr:nvSpPr>
      <xdr:spPr>
        <a:xfrm>
          <a:off x="11344275" y="5962650"/>
          <a:ext cx="1047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40</xdr:col>
      <xdr:colOff>0</xdr:colOff>
      <xdr:row>38</xdr:row>
      <xdr:rowOff>76200</xdr:rowOff>
    </xdr:from>
    <xdr:to>
      <xdr:col>40</xdr:col>
      <xdr:colOff>0</xdr:colOff>
      <xdr:row>38</xdr:row>
      <xdr:rowOff>76200</xdr:rowOff>
    </xdr:to>
    <xdr:cxnSp fPublished="0">
      <xdr:nvCxnSpPr>
        <xdr:cNvPr id="42" name="직선 화살표 연결선 41"/>
        <xdr:cNvCxnSpPr/>
      </xdr:nvCxnSpPr>
      <xdr:spPr>
        <a:xfrm>
          <a:off x="11344275" y="60198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40</xdr:col>
      <xdr:colOff>0</xdr:colOff>
      <xdr:row>37</xdr:row>
      <xdr:rowOff>19050</xdr:rowOff>
    </xdr:from>
    <xdr:to>
      <xdr:col>48</xdr:col>
      <xdr:colOff>85724</xdr:colOff>
      <xdr:row>37</xdr:row>
      <xdr:rowOff>133350</xdr:rowOff>
    </xdr:to>
    <xdr:sp fLocksText="1" fPublished="0">
      <xdr:nvSpPr>
        <xdr:cNvPr id="43" name="32"/>
        <xdr:cNvSpPr/>
      </xdr:nvSpPr>
      <xdr:spPr>
        <a:xfrm>
          <a:off x="11344275" y="5810250"/>
          <a:ext cx="12287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40</xdr:col>
      <xdr:colOff>0</xdr:colOff>
      <xdr:row>37</xdr:row>
      <xdr:rowOff>76200</xdr:rowOff>
    </xdr:from>
    <xdr:to>
      <xdr:col>40</xdr:col>
      <xdr:colOff>0</xdr:colOff>
      <xdr:row>37</xdr:row>
      <xdr:rowOff>76200</xdr:rowOff>
    </xdr:to>
    <xdr:cxnSp fPublished="0">
      <xdr:nvCxnSpPr>
        <xdr:cNvPr id="44" name="직선 화살표 연결선 43"/>
        <xdr:cNvCxnSpPr/>
      </xdr:nvCxnSpPr>
      <xdr:spPr>
        <a:xfrm>
          <a:off x="11344275" y="58674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40</xdr:col>
      <xdr:colOff>0</xdr:colOff>
      <xdr:row>36</xdr:row>
      <xdr:rowOff>19050</xdr:rowOff>
    </xdr:from>
    <xdr:to>
      <xdr:col>49</xdr:col>
      <xdr:colOff>104775</xdr:colOff>
      <xdr:row>36</xdr:row>
      <xdr:rowOff>133350</xdr:rowOff>
    </xdr:to>
    <xdr:sp fLocksText="1" fPublished="0">
      <xdr:nvSpPr>
        <xdr:cNvPr id="45" name="31"/>
        <xdr:cNvSpPr/>
      </xdr:nvSpPr>
      <xdr:spPr>
        <a:xfrm>
          <a:off x="11344275" y="5657850"/>
          <a:ext cx="13906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40</xdr:col>
      <xdr:colOff>0</xdr:colOff>
      <xdr:row>36</xdr:row>
      <xdr:rowOff>76200</xdr:rowOff>
    </xdr:from>
    <xdr:to>
      <xdr:col>40</xdr:col>
      <xdr:colOff>0</xdr:colOff>
      <xdr:row>36</xdr:row>
      <xdr:rowOff>76200</xdr:rowOff>
    </xdr:to>
    <xdr:cxnSp fPublished="0">
      <xdr:nvCxnSpPr>
        <xdr:cNvPr id="46" name="직선 화살표 연결선 45"/>
        <xdr:cNvCxnSpPr/>
      </xdr:nvCxnSpPr>
      <xdr:spPr>
        <a:xfrm>
          <a:off x="11344275" y="57150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40</xdr:col>
      <xdr:colOff>0</xdr:colOff>
      <xdr:row>35</xdr:row>
      <xdr:rowOff>19050</xdr:rowOff>
    </xdr:from>
    <xdr:to>
      <xdr:col>40</xdr:col>
      <xdr:colOff>104775</xdr:colOff>
      <xdr:row>35</xdr:row>
      <xdr:rowOff>133350</xdr:rowOff>
    </xdr:to>
    <xdr:sp fLocksText="1" fPublished="0">
      <xdr:nvSpPr>
        <xdr:cNvPr id="47" name="30"/>
        <xdr:cNvSpPr/>
      </xdr:nvSpPr>
      <xdr:spPr>
        <a:xfrm>
          <a:off x="11344275" y="5505450"/>
          <a:ext cx="1047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40</xdr:col>
      <xdr:colOff>0</xdr:colOff>
      <xdr:row>35</xdr:row>
      <xdr:rowOff>76200</xdr:rowOff>
    </xdr:from>
    <xdr:to>
      <xdr:col>40</xdr:col>
      <xdr:colOff>0</xdr:colOff>
      <xdr:row>35</xdr:row>
      <xdr:rowOff>76200</xdr:rowOff>
    </xdr:to>
    <xdr:cxnSp fPublished="0">
      <xdr:nvCxnSpPr>
        <xdr:cNvPr id="48" name="직선 화살표 연결선 47"/>
        <xdr:cNvCxnSpPr/>
      </xdr:nvCxnSpPr>
      <xdr:spPr>
        <a:xfrm>
          <a:off x="11344275" y="55626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0</xdr:colOff>
      <xdr:row>34</xdr:row>
      <xdr:rowOff>19050</xdr:rowOff>
    </xdr:from>
    <xdr:to>
      <xdr:col>38</xdr:col>
      <xdr:colOff>104775</xdr:colOff>
      <xdr:row>34</xdr:row>
      <xdr:rowOff>133350</xdr:rowOff>
    </xdr:to>
    <xdr:sp fLocksText="1" fPublished="0">
      <xdr:nvSpPr>
        <xdr:cNvPr id="51" name="28"/>
        <xdr:cNvSpPr/>
      </xdr:nvSpPr>
      <xdr:spPr>
        <a:xfrm>
          <a:off x="10915650" y="5353050"/>
          <a:ext cx="2476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37</xdr:col>
      <xdr:colOff>0</xdr:colOff>
      <xdr:row>34</xdr:row>
      <xdr:rowOff>76200</xdr:rowOff>
    </xdr:from>
    <xdr:to>
      <xdr:col>37</xdr:col>
      <xdr:colOff>0</xdr:colOff>
      <xdr:row>34</xdr:row>
      <xdr:rowOff>76200</xdr:rowOff>
    </xdr:to>
    <xdr:cxnSp fPublished="0">
      <xdr:nvCxnSpPr>
        <xdr:cNvPr id="52" name="직선 화살표 연결선 51"/>
        <xdr:cNvCxnSpPr/>
      </xdr:nvCxnSpPr>
      <xdr:spPr>
        <a:xfrm>
          <a:off x="10915650" y="54102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0</xdr:colOff>
      <xdr:row>33</xdr:row>
      <xdr:rowOff>19050</xdr:rowOff>
    </xdr:from>
    <xdr:to>
      <xdr:col>37</xdr:col>
      <xdr:colOff>104775</xdr:colOff>
      <xdr:row>33</xdr:row>
      <xdr:rowOff>133350</xdr:rowOff>
    </xdr:to>
    <xdr:sp fLocksText="1" fPublished="0">
      <xdr:nvSpPr>
        <xdr:cNvPr id="53" name="27"/>
        <xdr:cNvSpPr/>
      </xdr:nvSpPr>
      <xdr:spPr>
        <a:xfrm>
          <a:off x="10772775" y="5200650"/>
          <a:ext cx="2476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36</xdr:col>
      <xdr:colOff>0</xdr:colOff>
      <xdr:row>33</xdr:row>
      <xdr:rowOff>76200</xdr:rowOff>
    </xdr:from>
    <xdr:to>
      <xdr:col>36</xdr:col>
      <xdr:colOff>0</xdr:colOff>
      <xdr:row>33</xdr:row>
      <xdr:rowOff>76200</xdr:rowOff>
    </xdr:to>
    <xdr:cxnSp fPublished="0">
      <xdr:nvCxnSpPr>
        <xdr:cNvPr id="54" name="직선 화살표 연결선 53"/>
        <xdr:cNvCxnSpPr/>
      </xdr:nvCxnSpPr>
      <xdr:spPr>
        <a:xfrm>
          <a:off x="10772775" y="52578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0</xdr:colOff>
      <xdr:row>32</xdr:row>
      <xdr:rowOff>19050</xdr:rowOff>
    </xdr:from>
    <xdr:to>
      <xdr:col>39</xdr:col>
      <xdr:colOff>104775</xdr:colOff>
      <xdr:row>32</xdr:row>
      <xdr:rowOff>133350</xdr:rowOff>
    </xdr:to>
    <xdr:sp fLocksText="1" fPublished="0">
      <xdr:nvSpPr>
        <xdr:cNvPr id="55" name="26"/>
        <xdr:cNvSpPr/>
      </xdr:nvSpPr>
      <xdr:spPr>
        <a:xfrm>
          <a:off x="10772775" y="5048250"/>
          <a:ext cx="533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36</xdr:col>
      <xdr:colOff>0</xdr:colOff>
      <xdr:row>32</xdr:row>
      <xdr:rowOff>76200</xdr:rowOff>
    </xdr:from>
    <xdr:to>
      <xdr:col>36</xdr:col>
      <xdr:colOff>0</xdr:colOff>
      <xdr:row>32</xdr:row>
      <xdr:rowOff>76200</xdr:rowOff>
    </xdr:to>
    <xdr:cxnSp fPublished="0">
      <xdr:nvCxnSpPr>
        <xdr:cNvPr id="56" name="직선 화살표 연결선 55"/>
        <xdr:cNvCxnSpPr/>
      </xdr:nvCxnSpPr>
      <xdr:spPr>
        <a:xfrm>
          <a:off x="10772775" y="51054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35</xdr:col>
      <xdr:colOff>0</xdr:colOff>
      <xdr:row>31</xdr:row>
      <xdr:rowOff>19050</xdr:rowOff>
    </xdr:from>
    <xdr:to>
      <xdr:col>40</xdr:col>
      <xdr:colOff>104775</xdr:colOff>
      <xdr:row>31</xdr:row>
      <xdr:rowOff>133350</xdr:rowOff>
    </xdr:to>
    <xdr:sp fLocksText="1" fPublished="0">
      <xdr:nvSpPr>
        <xdr:cNvPr id="59" name="24"/>
        <xdr:cNvSpPr/>
      </xdr:nvSpPr>
      <xdr:spPr>
        <a:xfrm>
          <a:off x="10629900" y="4895850"/>
          <a:ext cx="8191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35</xdr:col>
      <xdr:colOff>0</xdr:colOff>
      <xdr:row>31</xdr:row>
      <xdr:rowOff>76200</xdr:rowOff>
    </xdr:from>
    <xdr:to>
      <xdr:col>35</xdr:col>
      <xdr:colOff>0</xdr:colOff>
      <xdr:row>31</xdr:row>
      <xdr:rowOff>76200</xdr:rowOff>
    </xdr:to>
    <xdr:cxnSp fPublished="0">
      <xdr:nvCxnSpPr>
        <xdr:cNvPr id="60" name="직선 화살표 연결선 59"/>
        <xdr:cNvCxnSpPr/>
      </xdr:nvCxnSpPr>
      <xdr:spPr>
        <a:xfrm>
          <a:off x="10629900" y="49530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0</xdr:colOff>
      <xdr:row>30</xdr:row>
      <xdr:rowOff>19050</xdr:rowOff>
    </xdr:from>
    <xdr:to>
      <xdr:col>34</xdr:col>
      <xdr:colOff>104775</xdr:colOff>
      <xdr:row>30</xdr:row>
      <xdr:rowOff>133350</xdr:rowOff>
    </xdr:to>
    <xdr:sp fLocksText="1" fPublished="0">
      <xdr:nvSpPr>
        <xdr:cNvPr id="61" name="23"/>
        <xdr:cNvSpPr/>
      </xdr:nvSpPr>
      <xdr:spPr>
        <a:xfrm>
          <a:off x="10344150" y="4743450"/>
          <a:ext cx="2476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33</xdr:col>
      <xdr:colOff>0</xdr:colOff>
      <xdr:row>30</xdr:row>
      <xdr:rowOff>76200</xdr:rowOff>
    </xdr:from>
    <xdr:to>
      <xdr:col>33</xdr:col>
      <xdr:colOff>38100</xdr:colOff>
      <xdr:row>30</xdr:row>
      <xdr:rowOff>76200</xdr:rowOff>
    </xdr:to>
    <xdr:cxnSp fPublished="0">
      <xdr:nvCxnSpPr>
        <xdr:cNvPr id="62" name="직선 화살표 연결선 61"/>
        <xdr:cNvCxnSpPr/>
      </xdr:nvCxnSpPr>
      <xdr:spPr>
        <a:xfrm>
          <a:off x="10344150" y="4800600"/>
          <a:ext cx="381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0</xdr:colOff>
      <xdr:row>29</xdr:row>
      <xdr:rowOff>19050</xdr:rowOff>
    </xdr:from>
    <xdr:to>
      <xdr:col>34</xdr:col>
      <xdr:colOff>104775</xdr:colOff>
      <xdr:row>29</xdr:row>
      <xdr:rowOff>133350</xdr:rowOff>
    </xdr:to>
    <xdr:sp fLocksText="1" fPublished="0">
      <xdr:nvSpPr>
        <xdr:cNvPr id="63" name="22"/>
        <xdr:cNvSpPr/>
      </xdr:nvSpPr>
      <xdr:spPr>
        <a:xfrm>
          <a:off x="10344150" y="4591050"/>
          <a:ext cx="2476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33</xdr:col>
      <xdr:colOff>0</xdr:colOff>
      <xdr:row>29</xdr:row>
      <xdr:rowOff>76200</xdr:rowOff>
    </xdr:from>
    <xdr:to>
      <xdr:col>33</xdr:col>
      <xdr:colOff>57150</xdr:colOff>
      <xdr:row>29</xdr:row>
      <xdr:rowOff>76200</xdr:rowOff>
    </xdr:to>
    <xdr:cxnSp fPublished="0">
      <xdr:nvCxnSpPr>
        <xdr:cNvPr id="13952" name="직선 화살표 연결선 13951"/>
        <xdr:cNvCxnSpPr/>
      </xdr:nvCxnSpPr>
      <xdr:spPr>
        <a:xfrm>
          <a:off x="10344150" y="4648200"/>
          <a:ext cx="5715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0</xdr:colOff>
      <xdr:row>28</xdr:row>
      <xdr:rowOff>19050</xdr:rowOff>
    </xdr:from>
    <xdr:to>
      <xdr:col>34</xdr:col>
      <xdr:colOff>104775</xdr:colOff>
      <xdr:row>28</xdr:row>
      <xdr:rowOff>133350</xdr:rowOff>
    </xdr:to>
    <xdr:sp fLocksText="1" fPublished="0">
      <xdr:nvSpPr>
        <xdr:cNvPr id="13953" name="21"/>
        <xdr:cNvSpPr/>
      </xdr:nvSpPr>
      <xdr:spPr>
        <a:xfrm>
          <a:off x="10344150" y="4438650"/>
          <a:ext cx="2476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33</xdr:col>
      <xdr:colOff>0</xdr:colOff>
      <xdr:row>28</xdr:row>
      <xdr:rowOff>76200</xdr:rowOff>
    </xdr:from>
    <xdr:to>
      <xdr:col>33</xdr:col>
      <xdr:colOff>47625</xdr:colOff>
      <xdr:row>28</xdr:row>
      <xdr:rowOff>76200</xdr:rowOff>
    </xdr:to>
    <xdr:cxnSp fPublished="0">
      <xdr:nvCxnSpPr>
        <xdr:cNvPr id="13954" name="직선 화살표 연결선 13953"/>
        <xdr:cNvCxnSpPr/>
      </xdr:nvCxnSpPr>
      <xdr:spPr>
        <a:xfrm>
          <a:off x="10344150" y="4495800"/>
          <a:ext cx="47625"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28575</xdr:colOff>
      <xdr:row>27</xdr:row>
      <xdr:rowOff>19050</xdr:rowOff>
    </xdr:from>
    <xdr:to>
      <xdr:col>34</xdr:col>
      <xdr:colOff>123824</xdr:colOff>
      <xdr:row>27</xdr:row>
      <xdr:rowOff>133350</xdr:rowOff>
    </xdr:to>
    <xdr:sp fLocksText="1" fPublished="0">
      <xdr:nvSpPr>
        <xdr:cNvPr id="13955" name="20"/>
        <xdr:cNvSpPr/>
      </xdr:nvSpPr>
      <xdr:spPr>
        <a:xfrm>
          <a:off x="10229850" y="4286250"/>
          <a:ext cx="3810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32</xdr:col>
      <xdr:colOff>28575</xdr:colOff>
      <xdr:row>27</xdr:row>
      <xdr:rowOff>76200</xdr:rowOff>
    </xdr:from>
    <xdr:to>
      <xdr:col>34</xdr:col>
      <xdr:colOff>123824</xdr:colOff>
      <xdr:row>27</xdr:row>
      <xdr:rowOff>76200</xdr:rowOff>
    </xdr:to>
    <xdr:cxnSp fPublished="0">
      <xdr:nvCxnSpPr>
        <xdr:cNvPr id="13956" name="직선 화살표 연결선 13955"/>
        <xdr:cNvCxnSpPr/>
      </xdr:nvCxnSpPr>
      <xdr:spPr>
        <a:xfrm>
          <a:off x="10229850" y="4343400"/>
          <a:ext cx="3810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28575</xdr:colOff>
      <xdr:row>26</xdr:row>
      <xdr:rowOff>19050</xdr:rowOff>
    </xdr:from>
    <xdr:to>
      <xdr:col>34</xdr:col>
      <xdr:colOff>123824</xdr:colOff>
      <xdr:row>26</xdr:row>
      <xdr:rowOff>133350</xdr:rowOff>
    </xdr:to>
    <xdr:sp fLocksText="1" fPublished="0">
      <xdr:nvSpPr>
        <xdr:cNvPr id="13957" name="19"/>
        <xdr:cNvSpPr/>
      </xdr:nvSpPr>
      <xdr:spPr>
        <a:xfrm>
          <a:off x="10229850" y="4133850"/>
          <a:ext cx="3810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32</xdr:col>
      <xdr:colOff>28575</xdr:colOff>
      <xdr:row>26</xdr:row>
      <xdr:rowOff>76200</xdr:rowOff>
    </xdr:from>
    <xdr:to>
      <xdr:col>33</xdr:col>
      <xdr:colOff>66675</xdr:colOff>
      <xdr:row>26</xdr:row>
      <xdr:rowOff>76200</xdr:rowOff>
    </xdr:to>
    <xdr:cxnSp fPublished="0">
      <xdr:nvCxnSpPr>
        <xdr:cNvPr id="13958" name="직선 화살표 연결선 13957"/>
        <xdr:cNvCxnSpPr/>
      </xdr:nvCxnSpPr>
      <xdr:spPr>
        <a:xfrm>
          <a:off x="10229850" y="4191000"/>
          <a:ext cx="180975"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28575</xdr:colOff>
      <xdr:row>25</xdr:row>
      <xdr:rowOff>19050</xdr:rowOff>
    </xdr:from>
    <xdr:to>
      <xdr:col>50</xdr:col>
      <xdr:colOff>28575</xdr:colOff>
      <xdr:row>25</xdr:row>
      <xdr:rowOff>133350</xdr:rowOff>
    </xdr:to>
    <xdr:sp fLocksText="1" fPublished="0">
      <xdr:nvSpPr>
        <xdr:cNvPr id="13959" name="18"/>
        <xdr:cNvSpPr/>
      </xdr:nvSpPr>
      <xdr:spPr>
        <a:xfrm>
          <a:off x="10229850" y="3981450"/>
          <a:ext cx="2571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32</xdr:col>
      <xdr:colOff>28575</xdr:colOff>
      <xdr:row>25</xdr:row>
      <xdr:rowOff>76200</xdr:rowOff>
    </xdr:from>
    <xdr:to>
      <xdr:col>33</xdr:col>
      <xdr:colOff>76200</xdr:colOff>
      <xdr:row>25</xdr:row>
      <xdr:rowOff>76200</xdr:rowOff>
    </xdr:to>
    <xdr:cxnSp fPublished="0">
      <xdr:nvCxnSpPr>
        <xdr:cNvPr id="13960" name="직선 화살표 연결선 13959"/>
        <xdr:cNvCxnSpPr/>
      </xdr:nvCxnSpPr>
      <xdr:spPr>
        <a:xfrm>
          <a:off x="10229850" y="4038600"/>
          <a:ext cx="1905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53</xdr:col>
      <xdr:colOff>28575</xdr:colOff>
      <xdr:row>23</xdr:row>
      <xdr:rowOff>19050</xdr:rowOff>
    </xdr:from>
    <xdr:to>
      <xdr:col>54</xdr:col>
      <xdr:colOff>9525</xdr:colOff>
      <xdr:row>23</xdr:row>
      <xdr:rowOff>142875</xdr:rowOff>
    </xdr:to>
    <xdr:sp fLocksText="1" fPublished="0">
      <xdr:nvSpPr>
        <xdr:cNvPr id="13961" name="다이아몬드 13960"/>
        <xdr:cNvSpPr/>
      </xdr:nvSpPr>
      <xdr:spPr>
        <a:xfrm>
          <a:off x="13230225" y="3676650"/>
          <a:ext cx="123825" cy="123825"/>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53</xdr:col>
      <xdr:colOff>28575</xdr:colOff>
      <xdr:row>22</xdr:row>
      <xdr:rowOff>19050</xdr:rowOff>
    </xdr:from>
    <xdr:to>
      <xdr:col>53</xdr:col>
      <xdr:colOff>47625</xdr:colOff>
      <xdr:row>22</xdr:row>
      <xdr:rowOff>133350</xdr:rowOff>
    </xdr:to>
    <xdr:sp fLocksText="1" fPublished="0">
      <xdr:nvSpPr>
        <xdr:cNvPr id="13962" name="15"/>
        <xdr:cNvSpPr/>
      </xdr:nvSpPr>
      <xdr:spPr>
        <a:xfrm>
          <a:off x="13230225" y="3524250"/>
          <a:ext cx="19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53</xdr:col>
      <xdr:colOff>28575</xdr:colOff>
      <xdr:row>22</xdr:row>
      <xdr:rowOff>76200</xdr:rowOff>
    </xdr:from>
    <xdr:to>
      <xdr:col>53</xdr:col>
      <xdr:colOff>28575</xdr:colOff>
      <xdr:row>22</xdr:row>
      <xdr:rowOff>76200</xdr:rowOff>
    </xdr:to>
    <xdr:cxnSp fPublished="0">
      <xdr:nvCxnSpPr>
        <xdr:cNvPr id="13963" name="직선 화살표 연결선 13962"/>
        <xdr:cNvCxnSpPr/>
      </xdr:nvCxnSpPr>
      <xdr:spPr>
        <a:xfrm>
          <a:off x="13230225" y="35814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85724</xdr:colOff>
      <xdr:row>21</xdr:row>
      <xdr:rowOff>19050</xdr:rowOff>
    </xdr:from>
    <xdr:to>
      <xdr:col>50</xdr:col>
      <xdr:colOff>47625</xdr:colOff>
      <xdr:row>21</xdr:row>
      <xdr:rowOff>133350</xdr:rowOff>
    </xdr:to>
    <xdr:sp fLocksText="1" fPublished="0">
      <xdr:nvSpPr>
        <xdr:cNvPr id="13966" name="13"/>
        <xdr:cNvSpPr/>
      </xdr:nvSpPr>
      <xdr:spPr>
        <a:xfrm>
          <a:off x="12715875" y="3371850"/>
          <a:ext cx="1047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49</xdr:col>
      <xdr:colOff>85724</xdr:colOff>
      <xdr:row>21</xdr:row>
      <xdr:rowOff>76200</xdr:rowOff>
    </xdr:from>
    <xdr:to>
      <xdr:col>49</xdr:col>
      <xdr:colOff>85724</xdr:colOff>
      <xdr:row>21</xdr:row>
      <xdr:rowOff>76200</xdr:rowOff>
    </xdr:to>
    <xdr:cxnSp fPublished="0">
      <xdr:nvCxnSpPr>
        <xdr:cNvPr id="13967" name="직선 화살표 연결선 13966"/>
        <xdr:cNvCxnSpPr/>
      </xdr:nvCxnSpPr>
      <xdr:spPr>
        <a:xfrm>
          <a:off x="12715875" y="34290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85724</xdr:colOff>
      <xdr:row>20</xdr:row>
      <xdr:rowOff>19050</xdr:rowOff>
    </xdr:from>
    <xdr:to>
      <xdr:col>53</xdr:col>
      <xdr:colOff>47625</xdr:colOff>
      <xdr:row>20</xdr:row>
      <xdr:rowOff>133350</xdr:rowOff>
    </xdr:to>
    <xdr:sp fLocksText="1" fPublished="0">
      <xdr:nvSpPr>
        <xdr:cNvPr id="13968" name="12"/>
        <xdr:cNvSpPr/>
      </xdr:nvSpPr>
      <xdr:spPr>
        <a:xfrm>
          <a:off x="12715875" y="3219450"/>
          <a:ext cx="533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49</xdr:col>
      <xdr:colOff>85724</xdr:colOff>
      <xdr:row>20</xdr:row>
      <xdr:rowOff>76200</xdr:rowOff>
    </xdr:from>
    <xdr:to>
      <xdr:col>49</xdr:col>
      <xdr:colOff>85724</xdr:colOff>
      <xdr:row>20</xdr:row>
      <xdr:rowOff>76200</xdr:rowOff>
    </xdr:to>
    <xdr:cxnSp fPublished="0">
      <xdr:nvCxnSpPr>
        <xdr:cNvPr id="13969" name="직선 화살표 연결선 13968"/>
        <xdr:cNvCxnSpPr/>
      </xdr:nvCxnSpPr>
      <xdr:spPr>
        <a:xfrm>
          <a:off x="12715875" y="32766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34</xdr:col>
      <xdr:colOff>104775</xdr:colOff>
      <xdr:row>14</xdr:row>
      <xdr:rowOff>19050</xdr:rowOff>
    </xdr:from>
    <xdr:to>
      <xdr:col>34</xdr:col>
      <xdr:colOff>123824</xdr:colOff>
      <xdr:row>14</xdr:row>
      <xdr:rowOff>133350</xdr:rowOff>
    </xdr:to>
    <xdr:sp fLocksText="1" fPublished="0">
      <xdr:nvSpPr>
        <xdr:cNvPr id="13970" name="0"/>
        <xdr:cNvSpPr/>
      </xdr:nvSpPr>
      <xdr:spPr>
        <a:xfrm>
          <a:off x="10591800" y="2305050"/>
          <a:ext cx="19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34</xdr:col>
      <xdr:colOff>104775</xdr:colOff>
      <xdr:row>14</xdr:row>
      <xdr:rowOff>76200</xdr:rowOff>
    </xdr:from>
    <xdr:to>
      <xdr:col>34</xdr:col>
      <xdr:colOff>104775</xdr:colOff>
      <xdr:row>14</xdr:row>
      <xdr:rowOff>76200</xdr:rowOff>
    </xdr:to>
    <xdr:cxnSp fPublished="0">
      <xdr:nvCxnSpPr>
        <xdr:cNvPr id="13971" name="직선 화살표 연결선 13970"/>
        <xdr:cNvCxnSpPr/>
      </xdr:nvCxnSpPr>
      <xdr:spPr>
        <a:xfrm>
          <a:off x="10591800" y="23622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44</xdr:col>
      <xdr:colOff>123824</xdr:colOff>
      <xdr:row>13</xdr:row>
      <xdr:rowOff>19050</xdr:rowOff>
    </xdr:from>
    <xdr:to>
      <xdr:col>48</xdr:col>
      <xdr:colOff>85724</xdr:colOff>
      <xdr:row>13</xdr:row>
      <xdr:rowOff>133350</xdr:rowOff>
    </xdr:to>
    <xdr:sp fLocksText="1" fPublished="0">
      <xdr:nvSpPr>
        <xdr:cNvPr id="13972" name="10"/>
        <xdr:cNvSpPr/>
      </xdr:nvSpPr>
      <xdr:spPr>
        <a:xfrm>
          <a:off x="12039600" y="2152650"/>
          <a:ext cx="5334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44</xdr:col>
      <xdr:colOff>123824</xdr:colOff>
      <xdr:row>13</xdr:row>
      <xdr:rowOff>76200</xdr:rowOff>
    </xdr:from>
    <xdr:to>
      <xdr:col>44</xdr:col>
      <xdr:colOff>123824</xdr:colOff>
      <xdr:row>13</xdr:row>
      <xdr:rowOff>76200</xdr:rowOff>
    </xdr:to>
    <xdr:cxnSp fPublished="0">
      <xdr:nvCxnSpPr>
        <xdr:cNvPr id="13973" name="직선 화살표 연결선 13972"/>
        <xdr:cNvCxnSpPr/>
      </xdr:nvCxnSpPr>
      <xdr:spPr>
        <a:xfrm>
          <a:off x="12039600" y="22098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39</xdr:col>
      <xdr:colOff>104775</xdr:colOff>
      <xdr:row>12</xdr:row>
      <xdr:rowOff>19050</xdr:rowOff>
    </xdr:from>
    <xdr:to>
      <xdr:col>39</xdr:col>
      <xdr:colOff>123824</xdr:colOff>
      <xdr:row>12</xdr:row>
      <xdr:rowOff>133350</xdr:rowOff>
    </xdr:to>
    <xdr:sp fLocksText="1" fPublished="0">
      <xdr:nvSpPr>
        <xdr:cNvPr id="13974" name="9"/>
        <xdr:cNvSpPr/>
      </xdr:nvSpPr>
      <xdr:spPr>
        <a:xfrm>
          <a:off x="11306175" y="2000250"/>
          <a:ext cx="19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39</xdr:col>
      <xdr:colOff>104775</xdr:colOff>
      <xdr:row>12</xdr:row>
      <xdr:rowOff>76200</xdr:rowOff>
    </xdr:from>
    <xdr:to>
      <xdr:col>39</xdr:col>
      <xdr:colOff>104775</xdr:colOff>
      <xdr:row>12</xdr:row>
      <xdr:rowOff>76200</xdr:rowOff>
    </xdr:to>
    <xdr:cxnSp fPublished="0">
      <xdr:nvCxnSpPr>
        <xdr:cNvPr id="13975" name="직선 화살표 연결선 13974"/>
        <xdr:cNvCxnSpPr/>
      </xdr:nvCxnSpPr>
      <xdr:spPr>
        <a:xfrm>
          <a:off x="11306175" y="20574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35</xdr:col>
      <xdr:colOff>28575</xdr:colOff>
      <xdr:row>11</xdr:row>
      <xdr:rowOff>19050</xdr:rowOff>
    </xdr:from>
    <xdr:to>
      <xdr:col>35</xdr:col>
      <xdr:colOff>123824</xdr:colOff>
      <xdr:row>11</xdr:row>
      <xdr:rowOff>133350</xdr:rowOff>
    </xdr:to>
    <xdr:sp fLocksText="1" fPublished="0">
      <xdr:nvSpPr>
        <xdr:cNvPr id="13976" name="8"/>
        <xdr:cNvSpPr/>
      </xdr:nvSpPr>
      <xdr:spPr>
        <a:xfrm>
          <a:off x="10658475" y="1847850"/>
          <a:ext cx="952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35</xdr:col>
      <xdr:colOff>28575</xdr:colOff>
      <xdr:row>11</xdr:row>
      <xdr:rowOff>76200</xdr:rowOff>
    </xdr:from>
    <xdr:to>
      <xdr:col>35</xdr:col>
      <xdr:colOff>76200</xdr:colOff>
      <xdr:row>11</xdr:row>
      <xdr:rowOff>76200</xdr:rowOff>
    </xdr:to>
    <xdr:cxnSp fPublished="0">
      <xdr:nvCxnSpPr>
        <xdr:cNvPr id="13977" name="직선 화살표 연결선 13976"/>
        <xdr:cNvCxnSpPr/>
      </xdr:nvCxnSpPr>
      <xdr:spPr>
        <a:xfrm>
          <a:off x="10658475" y="1905000"/>
          <a:ext cx="47625"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34</xdr:col>
      <xdr:colOff>104775</xdr:colOff>
      <xdr:row>10</xdr:row>
      <xdr:rowOff>19050</xdr:rowOff>
    </xdr:from>
    <xdr:to>
      <xdr:col>48</xdr:col>
      <xdr:colOff>85724</xdr:colOff>
      <xdr:row>10</xdr:row>
      <xdr:rowOff>133350</xdr:rowOff>
    </xdr:to>
    <xdr:sp fLocksText="1" fPublished="0">
      <xdr:nvSpPr>
        <xdr:cNvPr id="13978" name="7"/>
        <xdr:cNvSpPr/>
      </xdr:nvSpPr>
      <xdr:spPr>
        <a:xfrm>
          <a:off x="10591800" y="1695450"/>
          <a:ext cx="19812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34</xdr:col>
      <xdr:colOff>104775</xdr:colOff>
      <xdr:row>10</xdr:row>
      <xdr:rowOff>76200</xdr:rowOff>
    </xdr:from>
    <xdr:to>
      <xdr:col>35</xdr:col>
      <xdr:colOff>133350</xdr:colOff>
      <xdr:row>10</xdr:row>
      <xdr:rowOff>76200</xdr:rowOff>
    </xdr:to>
    <xdr:cxnSp fPublished="0">
      <xdr:nvCxnSpPr>
        <xdr:cNvPr id="13979" name="직선 화살표 연결선 13978"/>
        <xdr:cNvCxnSpPr/>
      </xdr:nvCxnSpPr>
      <xdr:spPr>
        <a:xfrm>
          <a:off x="10591800" y="1752600"/>
          <a:ext cx="17145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34</xdr:col>
      <xdr:colOff>104775</xdr:colOff>
      <xdr:row>9</xdr:row>
      <xdr:rowOff>19050</xdr:rowOff>
    </xdr:from>
    <xdr:to>
      <xdr:col>35</xdr:col>
      <xdr:colOff>95250</xdr:colOff>
      <xdr:row>9</xdr:row>
      <xdr:rowOff>142875</xdr:rowOff>
    </xdr:to>
    <xdr:sp fLocksText="1" fPublished="0">
      <xdr:nvSpPr>
        <xdr:cNvPr id="13980" name="다이아몬드 13979"/>
        <xdr:cNvSpPr/>
      </xdr:nvSpPr>
      <xdr:spPr>
        <a:xfrm>
          <a:off x="10591800" y="1543050"/>
          <a:ext cx="133350" cy="123825"/>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32</xdr:col>
      <xdr:colOff>28575</xdr:colOff>
      <xdr:row>8</xdr:row>
      <xdr:rowOff>19050</xdr:rowOff>
    </xdr:from>
    <xdr:to>
      <xdr:col>33</xdr:col>
      <xdr:colOff>28575</xdr:colOff>
      <xdr:row>8</xdr:row>
      <xdr:rowOff>133350</xdr:rowOff>
    </xdr:to>
    <xdr:sp fLocksText="1" fPublished="0">
      <xdr:nvSpPr>
        <xdr:cNvPr id="13981" name="5"/>
        <xdr:cNvSpPr/>
      </xdr:nvSpPr>
      <xdr:spPr>
        <a:xfrm>
          <a:off x="10229850" y="139065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32</xdr:col>
      <xdr:colOff>28575</xdr:colOff>
      <xdr:row>8</xdr:row>
      <xdr:rowOff>76200</xdr:rowOff>
    </xdr:from>
    <xdr:to>
      <xdr:col>33</xdr:col>
      <xdr:colOff>9525</xdr:colOff>
      <xdr:row>8</xdr:row>
      <xdr:rowOff>76200</xdr:rowOff>
    </xdr:to>
    <xdr:cxnSp fPublished="0">
      <xdr:nvCxnSpPr>
        <xdr:cNvPr id="13982" name="직선 화살표 연결선 13981"/>
        <xdr:cNvCxnSpPr/>
      </xdr:nvCxnSpPr>
      <xdr:spPr>
        <a:xfrm>
          <a:off x="10229850" y="1447800"/>
          <a:ext cx="123825"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28575</xdr:colOff>
      <xdr:row>7</xdr:row>
      <xdr:rowOff>19050</xdr:rowOff>
    </xdr:from>
    <xdr:to>
      <xdr:col>34</xdr:col>
      <xdr:colOff>123824</xdr:colOff>
      <xdr:row>7</xdr:row>
      <xdr:rowOff>133350</xdr:rowOff>
    </xdr:to>
    <xdr:sp fLocksText="1" fPublished="0">
      <xdr:nvSpPr>
        <xdr:cNvPr id="13983" name="4"/>
        <xdr:cNvSpPr/>
      </xdr:nvSpPr>
      <xdr:spPr>
        <a:xfrm>
          <a:off x="10229850" y="1238250"/>
          <a:ext cx="3810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32</xdr:col>
      <xdr:colOff>28575</xdr:colOff>
      <xdr:row>7</xdr:row>
      <xdr:rowOff>76200</xdr:rowOff>
    </xdr:from>
    <xdr:to>
      <xdr:col>34</xdr:col>
      <xdr:colOff>85724</xdr:colOff>
      <xdr:row>7</xdr:row>
      <xdr:rowOff>76200</xdr:rowOff>
    </xdr:to>
    <xdr:cxnSp fPublished="0">
      <xdr:nvCxnSpPr>
        <xdr:cNvPr id="13984" name="직선 화살표 연결선 13983"/>
        <xdr:cNvCxnSpPr/>
      </xdr:nvCxnSpPr>
      <xdr:spPr>
        <a:xfrm>
          <a:off x="10229850" y="1295400"/>
          <a:ext cx="3429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85724</xdr:colOff>
      <xdr:row>6</xdr:row>
      <xdr:rowOff>19050</xdr:rowOff>
    </xdr:from>
    <xdr:to>
      <xdr:col>31</xdr:col>
      <xdr:colOff>123824</xdr:colOff>
      <xdr:row>6</xdr:row>
      <xdr:rowOff>133350</xdr:rowOff>
    </xdr:to>
    <xdr:sp fLocksText="1" fPublished="0">
      <xdr:nvSpPr>
        <xdr:cNvPr id="13985" name="3"/>
        <xdr:cNvSpPr/>
      </xdr:nvSpPr>
      <xdr:spPr>
        <a:xfrm>
          <a:off x="10144125" y="1085850"/>
          <a:ext cx="381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31</xdr:col>
      <xdr:colOff>85724</xdr:colOff>
      <xdr:row>6</xdr:row>
      <xdr:rowOff>76200</xdr:rowOff>
    </xdr:from>
    <xdr:to>
      <xdr:col>31</xdr:col>
      <xdr:colOff>123824</xdr:colOff>
      <xdr:row>6</xdr:row>
      <xdr:rowOff>76200</xdr:rowOff>
    </xdr:to>
    <xdr:cxnSp fPublished="0">
      <xdr:nvCxnSpPr>
        <xdr:cNvPr id="13986" name="직선 화살표 연결선 13985"/>
        <xdr:cNvCxnSpPr/>
      </xdr:nvCxnSpPr>
      <xdr:spPr>
        <a:xfrm>
          <a:off x="10144125" y="1143000"/>
          <a:ext cx="381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85724</xdr:colOff>
      <xdr:row>5</xdr:row>
      <xdr:rowOff>19050</xdr:rowOff>
    </xdr:from>
    <xdr:to>
      <xdr:col>34</xdr:col>
      <xdr:colOff>123824</xdr:colOff>
      <xdr:row>5</xdr:row>
      <xdr:rowOff>133350</xdr:rowOff>
    </xdr:to>
    <xdr:sp fLocksText="1" fPublished="0">
      <xdr:nvSpPr>
        <xdr:cNvPr id="13987" name="2"/>
        <xdr:cNvSpPr/>
      </xdr:nvSpPr>
      <xdr:spPr>
        <a:xfrm>
          <a:off x="10144125" y="933450"/>
          <a:ext cx="4667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31</xdr:col>
      <xdr:colOff>85724</xdr:colOff>
      <xdr:row>5</xdr:row>
      <xdr:rowOff>76200</xdr:rowOff>
    </xdr:from>
    <xdr:to>
      <xdr:col>34</xdr:col>
      <xdr:colOff>104775</xdr:colOff>
      <xdr:row>5</xdr:row>
      <xdr:rowOff>76200</xdr:rowOff>
    </xdr:to>
    <xdr:cxnSp fPublished="0">
      <xdr:nvCxnSpPr>
        <xdr:cNvPr id="13988" name="직선 화살표 연결선 13987"/>
        <xdr:cNvCxnSpPr/>
      </xdr:nvCxnSpPr>
      <xdr:spPr>
        <a:xfrm>
          <a:off x="10144125" y="990600"/>
          <a:ext cx="447675"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85724</xdr:colOff>
      <xdr:row>4</xdr:row>
      <xdr:rowOff>19050</xdr:rowOff>
    </xdr:from>
    <xdr:to>
      <xdr:col>53</xdr:col>
      <xdr:colOff>47625</xdr:colOff>
      <xdr:row>4</xdr:row>
      <xdr:rowOff>133350</xdr:rowOff>
    </xdr:to>
    <xdr:sp fLocksText="1" fPublished="0">
      <xdr:nvSpPr>
        <xdr:cNvPr id="13989" name="1"/>
        <xdr:cNvSpPr/>
      </xdr:nvSpPr>
      <xdr:spPr>
        <a:xfrm>
          <a:off x="10144125" y="781050"/>
          <a:ext cx="31051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a:p>
          <a:pPr algn="l">
            <a:lnSpc>
              <a:spcPct val="100000"/>
            </a:lnSpc>
          </a:pPr>
        </a:p>
      </xdr:txBody>
    </xdr:sp>
    <xdr:clientData fLocksWithSheet="1" fPrintsWithSheet="1"/>
  </xdr:twoCellAnchor>
  <xdr:twoCellAnchor>
    <xdr:from>
      <xdr:col>31</xdr:col>
      <xdr:colOff>85724</xdr:colOff>
      <xdr:row>4</xdr:row>
      <xdr:rowOff>76200</xdr:rowOff>
    </xdr:from>
    <xdr:to>
      <xdr:col>37</xdr:col>
      <xdr:colOff>9525</xdr:colOff>
      <xdr:row>4</xdr:row>
      <xdr:rowOff>76200</xdr:rowOff>
    </xdr:to>
    <xdr:cxnSp fPublished="0">
      <xdr:nvCxnSpPr>
        <xdr:cNvPr id="13990" name="직선 화살표 연결선 13989"/>
        <xdr:cNvCxnSpPr/>
      </xdr:nvCxnSpPr>
      <xdr:spPr>
        <a:xfrm>
          <a:off x="10144125" y="838200"/>
          <a:ext cx="78105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wsDr>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xlworks.net/en/xlgantt-project-scheduler/" TargetMode="External" /></Relationships>
</file>

<file path=xl/worksheets/_rels/sheet2.xml.rels><?xml version="1.0" encoding="UTF-8" standalone="yes" ?><Relationships xmlns="http://schemas.openxmlformats.org/package/2006/relationships"><Relationship Id="rId1" Type="http://schemas.openxmlformats.org/officeDocument/2006/relationships/hyperlink" Target="https://xlworks.net/xlgantt-easy-tip/" TargetMode="External" /><Relationship Id="rId10" Type="http://schemas.openxmlformats.org/officeDocument/2006/relationships/hyperlink" Target="https://xlworks.net/xlgantt-howto-11-calendar/" TargetMode="External" /><Relationship Id="rId11" Type="http://schemas.openxmlformats.org/officeDocument/2006/relationships/hyperlink" Target="https://xlworks.net/xlgantt-howto-12-integration-with-excel/" TargetMode="External" /><Relationship Id="rId12" Type="http://schemas.openxmlformats.org/officeDocument/2006/relationships/hyperlink" Target="https://xlworks.net/xlgantt-howto-04-project-progress/" TargetMode="External" /><Relationship Id="rId13" Type="http://schemas.openxmlformats.org/officeDocument/2006/relationships/hyperlink" Target="https://xlworks.net/xlgantt-howto-13-server-data/" TargetMode="External" /><Relationship Id="rId14" Type="http://schemas.openxmlformats.org/officeDocument/2006/relationships/hyperlink" Target="https://xlworks.net/xlgantt-project-scheduler/" TargetMode="External" /><Relationship Id="rId2" Type="http://schemas.openxmlformats.org/officeDocument/2006/relationships/hyperlink" Target="https://xlworks.net/xlgantt-howto-02-task/" TargetMode="External" /><Relationship Id="rId3" Type="http://schemas.openxmlformats.org/officeDocument/2006/relationships/hyperlink" Target="https://xlworks.net/xlgantt-howto-03-gantt-chart/" TargetMode="External" /><Relationship Id="rId4" Type="http://schemas.openxmlformats.org/officeDocument/2006/relationships/hyperlink" Target="https://xlworks.net/xlgantt-howto-05-analysis-report/" TargetMode="External" /><Relationship Id="rId5" Type="http://schemas.openxmlformats.org/officeDocument/2006/relationships/hyperlink" Target="https://xlworks.net/xlgantt-howto-06-schedule-change-management/" TargetMode="External" /><Relationship Id="rId6" Type="http://schemas.openxmlformats.org/officeDocument/2006/relationships/hyperlink" Target="https://xlworks.net/xlgantt-howto-07-deliverables/" TargetMode="External" /><Relationship Id="rId7" Type="http://schemas.openxmlformats.org/officeDocument/2006/relationships/hyperlink" Target="https://xlworks.net/xlgantt-howto-08-add-tasks-to-outlook/" TargetMode="External" /><Relationship Id="rId8" Type="http://schemas.openxmlformats.org/officeDocument/2006/relationships/hyperlink" Target="https://xlworks.net/xlgantt-howto-09-multilingual-support/" TargetMode="External" /><Relationship Id="rId9" Type="http://schemas.openxmlformats.org/officeDocument/2006/relationships/hyperlink" Target="https://xlworks.net/xlgantt-howto-10-import-schedule/" TargetMode="External" /></Relationships>
</file>

<file path=xl/worksheets/_rels/sheet3.xml.rels><?xml version="1.0" encoding="UTF-8" standalone="yes" ?><Relationships xmlns="http://schemas.openxmlformats.org/package/2006/relationships"><Relationship Id="rId1" Type="http://schemas.openxmlformats.org/officeDocument/2006/relationships/hyperlink" Target="https://xlworks.net/xlgantt-project-scheduler/" TargetMode="External" /><Relationship Id="rId2" Type="http://schemas.openxmlformats.org/officeDocument/2006/relationships/drawing" Target="../drawings/drawing5.xml"  /></Relationships>
</file>

<file path=xl/worksheets/sheet1.xml><?xml version="1.0" encoding="utf-8"?>
<x:worksheet xmlns:r="http://schemas.openxmlformats.org/officeDocument/2006/relationships" xmlns:c="http://schemas.openxmlformats.org/drawingml/2006/chart" xmlns:x="http://schemas.openxmlformats.org/spreadsheetml/2006/main">
  <x:sheetPr codeName="Sheet4"/>
  <x:dimension ref="A1:BL15"/>
  <x:sheetViews>
    <x:sheetView topLeftCell="A1" zoomScaleNormal="100" zoomScaleSheetLayoutView="75" workbookViewId="0">
      <x:selection activeCell="C30" activeCellId="0" sqref="C30:C30"/>
    </x:sheetView>
  </x:sheetViews>
  <x:sheetFormatPr defaultColWidth="10" defaultRowHeight="12.75"/>
  <x:cols>
    <x:col min="1" max="1" width="27.625" style="74" bestFit="1" customWidth="1"/>
    <x:col min="2" max="2" width="35.625" style="71" bestFit="1" customWidth="1"/>
    <x:col min="3" max="3" width="53.25" style="71" bestFit="1" customWidth="1"/>
    <x:col min="4" max="4" width="27.25" style="71" bestFit="1" customWidth="1"/>
    <x:col min="5" max="5" width="12.75" style="71" bestFit="1" customWidth="1"/>
    <x:col min="6" max="6" width="21.25" style="71" bestFit="1" customWidth="1"/>
    <x:col min="7" max="7" width="25.125" style="74" bestFit="1" customWidth="1"/>
    <x:col min="8" max="8" width="23.625" style="74" bestFit="1" customWidth="1"/>
    <x:col min="9" max="9" width="9.5" style="74" bestFit="1" customWidth="1"/>
    <x:col min="10" max="10" width="22.5" style="74" bestFit="1" customWidth="1"/>
    <x:col min="11" max="11" width="60.75" style="74" bestFit="1" customWidth="1"/>
    <x:col min="12" max="12" width="25.125" style="74" bestFit="1" customWidth="1"/>
    <x:col min="13" max="13" width="4.75" style="74" bestFit="1" customWidth="1"/>
    <x:col min="14" max="14" width="23" style="74" bestFit="1" customWidth="1"/>
    <x:col min="15" max="15" width="8" style="74" bestFit="1" customWidth="1"/>
    <x:col min="16" max="16" width="28.375" style="74" bestFit="1" customWidth="1"/>
    <x:col min="17" max="17" width="6" style="74" bestFit="1" customWidth="1"/>
    <x:col min="18" max="18" width="27.75" style="74" bestFit="1" customWidth="1"/>
    <x:col min="19" max="19" width="4.75" style="74" bestFit="1" customWidth="1"/>
    <x:col min="20" max="20" width="24.375" style="74" bestFit="1" customWidth="1"/>
    <x:col min="21" max="21" width="4.25" style="74" bestFit="1" customWidth="1"/>
    <x:col min="22" max="22" width="28.875" style="74" bestFit="1" customWidth="1"/>
    <x:col min="23" max="23" width="8" style="74" bestFit="1" customWidth="1"/>
    <x:col min="24" max="24" width="22.625" style="74" bestFit="1" customWidth="1"/>
    <x:col min="25" max="25" width="4.875" style="74" bestFit="1" customWidth="1"/>
    <x:col min="26" max="26" width="24.375" style="74" bestFit="1" customWidth="1"/>
    <x:col min="27" max="27" width="7.375" style="74" hidden="1" customWidth="1"/>
    <x:col min="28" max="28" width="19.75" style="74" bestFit="1" customWidth="1"/>
    <x:col min="29" max="29" width="4.25" style="74" bestFit="1" customWidth="1"/>
    <x:col min="30" max="30" width="15.375" style="74" bestFit="1" customWidth="1"/>
    <x:col min="31" max="31" width="39.625" style="74" bestFit="1" customWidth="1"/>
    <x:col min="32" max="32" width="35.75" style="74" bestFit="1" customWidth="1"/>
    <x:col min="33" max="33" width="4.875" style="74" bestFit="1" customWidth="1"/>
    <x:col min="34" max="34" width="24.25" style="74" bestFit="1" customWidth="1"/>
    <x:col min="35" max="35" width="8.75" style="74" bestFit="1" customWidth="1"/>
    <x:col min="36" max="36" width="26" style="74" bestFit="1" customWidth="1"/>
    <x:col min="37" max="37" width="4.625" style="74" bestFit="1" customWidth="1"/>
    <x:col min="38" max="38" width="35.625" style="74" bestFit="1" customWidth="1"/>
    <x:col min="39" max="39" width="33.375" style="74" bestFit="1" customWidth="1"/>
    <x:col min="40" max="40" width="22.625" style="74" bestFit="1" customWidth="1"/>
    <x:col min="41" max="41" width="5.25" style="74" bestFit="1" customWidth="1"/>
    <x:col min="42" max="42" width="16.625" style="74" bestFit="1" customWidth="1"/>
    <x:col min="43" max="43" width="93.375" style="74" bestFit="1" customWidth="1"/>
    <x:col min="44" max="44" width="21" style="74" bestFit="1" customWidth="1"/>
    <x:col min="45" max="45" width="5.5" style="74" bestFit="1" customWidth="1"/>
    <x:col min="46" max="46" width="14.875" style="74" bestFit="1" customWidth="1"/>
    <x:col min="47" max="47" width="28.625" style="74" bestFit="1" customWidth="1"/>
    <x:col min="48" max="48" width="22.625" style="74" bestFit="1" customWidth="1"/>
    <x:col min="49" max="49" width="4.875" style="74" bestFit="1" customWidth="1"/>
    <x:col min="50" max="50" width="15.625" style="74" bestFit="1" customWidth="1"/>
    <x:col min="51" max="51" width="10" style="74"/>
    <x:col min="52" max="52" width="13.125" style="74" bestFit="1" customWidth="1"/>
    <x:col min="53" max="53" width="10" style="74"/>
    <x:col min="54" max="54" width="14.875" style="74" bestFit="1" customWidth="1"/>
    <x:col min="55" max="55" width="10" style="74"/>
    <x:col min="56" max="56" width="22.625" style="74" bestFit="1" customWidth="1"/>
    <x:col min="57" max="57" width="10" style="74"/>
    <x:col min="58" max="58" width="15.625" style="74" bestFit="1" customWidth="1"/>
    <x:col min="59" max="59" width="10" style="74"/>
    <x:col min="60" max="60" width="13.125" style="74" bestFit="1" customWidth="1"/>
    <x:col min="61" max="61" width="10" style="74"/>
    <x:col min="62" max="62" width="14.875" style="74" bestFit="1" customWidth="1"/>
    <x:col min="63" max="63" width="10" style="74"/>
    <x:col min="64" max="64" width="22.625" style="74" bestFit="1" customWidth="1"/>
    <x:col min="65" max="65" width="10" style="74"/>
    <x:col min="66" max="66" width="33.75" style="74" bestFit="1" customWidth="1"/>
    <x:col min="67" max="16384" width="10" style="74"/>
  </x:cols>
  <x:sheetData>
    <x:row r="1" spans="1:6" s="71" customFormat="1">
      <x:c r="A1" s="70" t="s">
        <x:v>683</x:v>
      </x:c>
      <x:c r="B1" s="70" t="s">
        <x:v>684</x:v>
      </x:c>
      <x:c r="C1" s="70" t="s">
        <x:v>680</x:v>
      </x:c>
      <x:c r="D1" s="70" t="s">
        <x:v>681</x:v>
      </x:c>
      <x:c r="E1" s="70" t="s">
        <x:v>1254</x:v>
      </x:c>
      <x:c r="F1" s="70" t="s">
        <x:v>1238</x:v>
      </x:c>
    </x:row>
    <x:row r="2" spans="1:6">
      <x:c r="A2" s="72" t="s">
        <x:v>682</x:v>
      </x:c>
      <x:c r="B2" s="73" t="s">
        <x:v>679</x:v>
      </x:c>
      <x:c r="C2" s="73"/>
      <x:c r="D2" s="73"/>
      <x:c r="E2" s="73" t="s">
        <x:v>1259</x:v>
      </x:c>
      <x:c r="F2" s="73"/>
    </x:row>
    <x:row r="3" spans="1:6">
      <x:c r="A3" s="72" t="s">
        <x:v>369</x:v>
      </x:c>
      <x:c r="B3" s="73" t="s">
        <x:v>679</x:v>
      </x:c>
      <x:c r="C3" s="73"/>
      <x:c r="D3" s="73"/>
      <x:c r="E3" s="73" t="s">
        <x:v>1259</x:v>
      </x:c>
      <x:c r="F3" s="73"/>
    </x:row>
    <x:row r="4" spans="1:6">
      <x:c r="A4" s="72" t="s">
        <x:v>1260</x:v>
      </x:c>
      <x:c r="B4" s="83" t="s">
        <x:v>1110</x:v>
      </x:c>
      <x:c r="C4" s="73"/>
      <x:c r="D4" s="73"/>
      <x:c r="E4" s="73" t="s">
        <x:v>1259</x:v>
      </x:c>
      <x:c r="F4" s="73"/>
    </x:row>
    <x:row r="5" spans="1:6">
      <x:c r="A5" s="72" t="s">
        <x:v>1250</x:v>
      </x:c>
      <x:c r="B5" s="73" t="s">
        <x:v>687</x:v>
      </x:c>
      <x:c r="C5" s="73"/>
      <x:c r="D5" s="73"/>
      <x:c r="E5" s="73" t="s">
        <x:v>1259</x:v>
      </x:c>
      <x:c r="F5" s="73"/>
    </x:row>
    <x:row r="6" spans="1:6" ht="13.5">
      <x:c r="A6" s="72" t="s">
        <x:v>1245</x:v>
      </x:c>
      <x:c r="B6" s="218" t="s">
        <x:v>295</x:v>
      </x:c>
      <x:c r="C6" s="73"/>
      <x:c r="D6" s="73"/>
      <x:c r="E6" s="73" t="s">
        <x:v>1259</x:v>
      </x:c>
      <x:c r="F6" s="73"/>
    </x:row>
    <x:row r="7" spans="1:6">
      <x:c r="A7" s="72" t="s">
        <x:v>1083</x:v>
      </x:c>
      <x:c r="B7" s="72" t="s">
        <x:v>679</x:v>
      </x:c>
      <x:c r="C7" s="73"/>
      <x:c r="D7" s="73"/>
      <x:c r="E7" s="73" t="s">
        <x:v>1259</x:v>
      </x:c>
      <x:c r="F7" s="73"/>
    </x:row>
    <x:row r="8" spans="1:6">
      <x:c r="A8" s="72" t="s">
        <x:v>700</x:v>
      </x:c>
      <x:c r="B8" s="75" t="s">
        <x:v>925</x:v>
      </x:c>
      <x:c r="C8" s="73" t="s">
        <x:v>182</x:v>
      </x:c>
      <x:c r="D8" s="73">
        <x:v>82</x:v>
      </x:c>
      <x:c r="E8" s="73" t="s">
        <x:v>1259</x:v>
      </x:c>
      <x:c r="F8" s="73"/>
    </x:row>
    <x:row r="9" spans="1:6">
      <x:c r="A9" s="72" t="s">
        <x:v>1230</x:v>
      </x:c>
      <x:c r="B9" s="76">
        <x:v>44346</x:v>
      </x:c>
      <x:c r="C9" s="73"/>
      <x:c r="D9" s="73"/>
      <x:c r="E9" s="73" t="s">
        <x:v>1259</x:v>
      </x:c>
      <x:c r="F9" s="73"/>
    </x:row>
    <x:row r="10" spans="1:6">
      <x:c r="A10" s="77" t="s">
        <x:v>701</x:v>
      </x:c>
      <x:c r="B10" s="78" t="s">
        <x:v>1393</x:v>
      </x:c>
      <x:c r="C10" s="78"/>
      <x:c r="D10" s="78"/>
      <x:c r="E10" s="78" t="s">
        <x:v>1259</x:v>
      </x:c>
      <x:c r="F10" s="78"/>
    </x:row>
    <x:row r="11" spans="1:33">
      <x:c r="A11" s="74" t="s">
        <x:v>1281</x:v>
      </x:c>
      <x:c r="B11" s="79" t="s">
        <x:v>1088</x:v>
      </x:c>
      <x:c r="C11" s="71" t="s">
        <x:v>436</x:v>
      </x:c>
      <x:c r="D11" s="71" t="s">
        <x:v>970</x:v>
      </x:c>
      <x:c r="E11" s="80">
        <x:v>1</x:v>
      </x:c>
      <x:c r="F11" s="81" t="s">
        <x:v>576</x:v>
      </x:c>
      <x:c r="G11" s="82">
        <x:v>44336</x:v>
      </x:c>
      <x:c r="H11" s="81" t="s">
        <x:v>1089</x:v>
      </x:c>
      <x:c r="I11" s="82">
        <x:v>44487</x:v>
      </x:c>
      <x:c r="J11" s="74" t="s">
        <x:v>507</x:v>
      </x:c>
      <x:c r="K11" s="74" t="s">
        <x:v>218</x:v>
      </x:c>
      <x:c r="L11" s="74" t="s">
        <x:v>1381</x:v>
      </x:c>
      <x:c r="M11" s="74">
        <x:v>1</x:v>
      </x:c>
      <x:c r="N11" s="79" t="s">
        <x:v>565</x:v>
      </x:c>
      <x:c r="O11" s="71">
        <x:v>0</x:v>
      </x:c>
      <x:c r="P11" s="71" t="s">
        <x:v>1419</x:v>
      </x:c>
      <x:c r="Q11" s="79" t="s">
        <x:v>834</x:v>
      </x:c>
      <x:c r="R11" s="74" t="s">
        <x:v>596</x:v>
      </x:c>
      <x:c r="S11" s="74">
        <x:v>1</x:v>
      </x:c>
      <x:c r="T11" s="74" t="s">
        <x:v>512</x:v>
      </x:c>
      <x:c r="U11" s="74">
        <x:v>1</x:v>
      </x:c>
      <x:c r="V11" s="74" t="s">
        <x:v>974</x:v>
      </x:c>
      <x:c r="W11" s="74">
        <x:v>1</x:v>
      </x:c>
      <x:c r="X11" s="74" t="s">
        <x:v>625</x:v>
      </x:c>
      <x:c r="Y11" s="74">
        <x:v>1</x:v>
      </x:c>
      <x:c r="Z11" s="74" t="s">
        <x:v>510</x:v>
      </x:c>
      <x:c r="AA11" s="74">
        <x:v>0</x:v>
      </x:c>
      <x:c r="AB11" s="74" t="s">
        <x:v>644</x:v>
      </x:c>
      <x:c r="AC11" s="74">
        <x:v>0</x:v>
      </x:c>
      <x:c r="AD11" s="74" t="s">
        <x:v>1297</x:v>
      </x:c>
      <x:c r="AE11" s="74">
        <x:v>1</x:v>
      </x:c>
      <x:c r="AF11" s="74" t="s">
        <x:v>21</x:v>
      </x:c>
      <x:c r="AG11" s="74">
        <x:v>1</x:v>
      </x:c>
    </x:row>
    <x:row r="12" spans="1:45">
      <x:c r="A12" s="74" t="s">
        <x:v>1111</x:v>
      </x:c>
      <x:c r="B12" s="74" t="s">
        <x:v>1378</x:v>
      </x:c>
      <x:c r="C12" s="74">
        <x:v>1</x:v>
      </x:c>
      <x:c r="D12" s="74" t="s">
        <x:v>593</x:v>
      </x:c>
      <x:c r="E12" s="74">
        <x:v>1</x:v>
      </x:c>
      <x:c r="F12" s="74" t="s">
        <x:v>1112</x:v>
      </x:c>
      <x:c r="G12" s="74">
        <x:v>0</x:v>
      </x:c>
      <x:c r="H12" s="74" t="s">
        <x:v>1275</x:v>
      </x:c>
      <x:c r="I12" s="74">
        <x:v>1</x:v>
      </x:c>
      <x:c r="J12" s="74" t="s">
        <x:v>1135</x:v>
      </x:c>
      <x:c r="K12" s="74">
        <x:v>0.69999999999999996</x:v>
      </x:c>
      <x:c r="L12" s="74" t="s">
        <x:v>1382</x:v>
      </x:c>
      <x:c r="M12" s="74">
        <x:v>2</x:v>
      </x:c>
      <x:c r="N12" s="74" t="s">
        <x:v>1131</x:v>
      </x:c>
      <x:c r="O12" s="74">
        <x:v>1</x:v>
      </x:c>
      <x:c r="P12" s="74" t="s">
        <x:v>973</x:v>
      </x:c>
      <x:c r="Q12" s="74">
        <x:v>1</x:v>
      </x:c>
      <x:c r="R12" s="74" t="s">
        <x:v>1384</x:v>
      </x:c>
      <x:c r="S12" s="74">
        <x:v>7</x:v>
      </x:c>
      <x:c r="T12" s="74" t="s">
        <x:v>506</x:v>
      </x:c>
      <x:c r="U12" s="74">
        <x:v>0</x:v>
      </x:c>
      <x:c r="V12" s="74" t="s">
        <x:v>521</x:v>
      </x:c>
      <x:c r="W12" s="74">
        <x:v>100</x:v>
      </x:c>
      <x:c r="X12" s="74" t="s">
        <x:v>601</x:v>
      </x:c>
      <x:c r="Y12" s="74">
        <x:v>0</x:v>
      </x:c>
      <x:c r="Z12" s="74" t="s">
        <x:v>1139</x:v>
      </x:c>
      <x:c r="AA12" s="74">
        <x:v>1</x:v>
      </x:c>
      <x:c r="AB12" s="74" t="s">
        <x:v>1274</x:v>
      </x:c>
      <x:c r="AC12" s="74">
        <x:v>1</x:v>
      </x:c>
      <x:c r="AD12" s="74" t="s">
        <x:v>1285</x:v>
      </x:c>
      <x:c r="AE12" s="74">
        <x:v>1</x:v>
      </x:c>
      <x:c r="AF12" s="74" t="s">
        <x:v>524</x:v>
      </x:c>
      <x:c r="AG12" s="74">
        <x:v>2</x:v>
      </x:c>
      <x:c r="AH12" s="74" t="s">
        <x:v>538</x:v>
      </x:c>
      <x:c r="AI12" s="74">
        <x:v>9</x:v>
      </x:c>
      <x:c r="AJ12" s="74" t="s">
        <x:v>486</x:v>
      </x:c>
      <x:c r="AK12" s="74">
        <x:v>1</x:v>
      </x:c>
      <x:c r="AL12" s="74" t="s">
        <x:v>1403</x:v>
      </x:c>
      <x:c r="AM12" s="74">
        <x:v>1</x:v>
      </x:c>
      <x:c r="AN12" s="74" t="s">
        <x:v>1074</x:v>
      </x:c>
      <x:c r="AO12" s="74">
        <x:v>1</x:v>
      </x:c>
      <x:c r="AP12" s="74" t="s">
        <x:v>1065</x:v>
      </x:c>
      <x:c r="AQ12" s="136" t="s">
        <x:v>79</x:v>
      </x:c>
      <x:c r="AR12" s="74" t="s">
        <x:v>671</x:v>
      </x:c>
      <x:c r="AS12" s="74">
        <x:v>-4131</x:v>
      </x:c>
    </x:row>
    <x:row r="13" spans="1:9">
      <x:c r="A13" s="73" t="s">
        <x:v>559</x:v>
      </x:c>
      <x:c r="B13" s="79" t="s">
        <x:v>591</x:v>
      </x:c>
      <x:c r="C13" s="71">
        <x:v>1</x:v>
      </x:c>
      <x:c r="D13" s="79" t="s">
        <x:v>1080</x:v>
      </x:c>
      <x:c r="E13" s="71" t="s">
        <x:v>859</x:v>
      </x:c>
      <x:c r="F13" s="71" t="s">
        <x:v>1090</x:v>
      </x:c>
      <x:c r="G13" s="81" t="s">
        <x:v>703</x:v>
      </x:c>
      <x:c r="H13" s="81" t="s">
        <x:v>557</x:v>
      </x:c>
      <x:c r="I13" s="74" t="s">
        <x:v>703</x:v>
      </x:c>
    </x:row>
    <x:row r="14" spans="1:64">
      <x:c r="A14" s="73" t="s">
        <x:v>1377</x:v>
      </x:c>
      <x:c r="B14" s="80" t="s">
        <x:v>1093</x:v>
      </x:c>
      <x:c r="C14" s="80" t="s">
        <x:v>345</x:v>
      </x:c>
      <x:c r="D14" s="80" t="s">
        <x:v>1078</x:v>
      </x:c>
      <x:c r="E14" s="80" t="s">
        <x:v>704</x:v>
      </x:c>
      <x:c r="F14" s="80" t="s">
        <x:v>1091</x:v>
      </x:c>
      <x:c r="G14" s="80" t="s">
        <x:v>590</x:v>
      </x:c>
      <x:c r="H14" s="80" t="s">
        <x:v>566</x:v>
      </x:c>
      <x:c r="I14" s="80" t="b">
        <x:v>0</x:v>
      </x:c>
      <x:c r="J14" s="80" t="s">
        <x:v>1092</x:v>
      </x:c>
      <x:c r="K14" s="80" t="s">
        <x:v>728</x:v>
      </x:c>
      <x:c r="L14" s="80" t="s">
        <x:v>1094</x:v>
      </x:c>
      <x:c r="M14" s="80" t="s">
        <x:v>709</x:v>
      </x:c>
      <x:c r="N14" s="80" t="s">
        <x:v>1085</x:v>
      </x:c>
      <x:c r="O14" s="80" t="s">
        <x:v>590</x:v>
      </x:c>
      <x:c r="P14" s="80" t="s">
        <x:v>570</x:v>
      </x:c>
      <x:c r="Q14" s="80" t="b">
        <x:v>0</x:v>
      </x:c>
      <x:c r="R14" s="80" t="s">
        <x:v>1077</x:v>
      </x:c>
      <x:c r="S14" s="80" t="s">
        <x:v>696</x:v>
      </x:c>
      <x:c r="T14" s="80" t="s">
        <x:v>1075</x:v>
      </x:c>
      <x:c r="U14" s="80" t="s">
        <x:v>715</x:v>
      </x:c>
      <x:c r="V14" s="80" t="s">
        <x:v>1076</x:v>
      </x:c>
      <x:c r="W14" s="80" t="s">
        <x:v>590</x:v>
      </x:c>
      <x:c r="X14" s="80" t="s">
        <x:v>572</x:v>
      </x:c>
      <x:c r="Y14" s="80" t="b">
        <x:v>1</x:v>
      </x:c>
      <x:c r="Z14" s="80" t="s">
        <x:v>1079</x:v>
      </x:c>
      <x:c r="AA14" s="80" t="s">
        <x:v>819</x:v>
      </x:c>
      <x:c r="AB14" s="80" t="s">
        <x:v>1081</x:v>
      </x:c>
      <x:c r="AC14" s="80" t="s">
        <x:v>1482</x:v>
      </x:c>
      <x:c r="AD14" s="80" t="s">
        <x:v>1084</x:v>
      </x:c>
      <x:c r="AE14" s="80" t="s">
        <x:v>123</x:v>
      </x:c>
      <x:c r="AF14" s="80" t="s">
        <x:v>554</x:v>
      </x:c>
      <x:c r="AG14" s="80" t="b">
        <x:v>1</x:v>
      </x:c>
      <x:c r="AH14" s="80" t="s">
        <x:v>1086</x:v>
      </x:c>
      <x:c r="AI14" s="80" t="s">
        <x:v>1182</x:v>
      </x:c>
      <x:c r="AJ14" s="80" t="s">
        <x:v>1087</x:v>
      </x:c>
      <x:c r="AK14" s="80" t="s">
        <x:v>804</x:v>
      </x:c>
      <x:c r="AL14" s="80" t="s">
        <x:v>1082</x:v>
      </x:c>
      <x:c r="AM14" s="80" t="s">
        <x:v>107</x:v>
      </x:c>
      <x:c r="AN14" s="80" t="s">
        <x:v>550</x:v>
      </x:c>
      <x:c r="AO14" s="80" t="b">
        <x:v>0</x:v>
      </x:c>
      <x:c r="AP14" s="80" t="s">
        <x:v>1123</x:v>
      </x:c>
      <x:c r="AQ14" s="80" t="s">
        <x:v>1437</x:v>
      </x:c>
      <x:c r="AR14" s="80" t="s">
        <x:v>1107</x:v>
      </x:c>
      <x:c r="AS14" s="80" t="s">
        <x:v>1446</x:v>
      </x:c>
      <x:c r="AT14" s="80" t="s">
        <x:v>1118</x:v>
      </x:c>
      <x:c r="AU14" s="80" t="s">
        <x:v>1389</x:v>
      </x:c>
      <x:c r="AV14" s="80" t="s">
        <x:v>571</x:v>
      </x:c>
      <x:c r="AW14" s="80" t="b">
        <x:v>1</x:v>
      </x:c>
      <x:c r="AX14" s="74" t="s">
        <x:v>1109</x:v>
      </x:c>
      <x:c r="AZ14" s="74" t="s">
        <x:v>1114</x:v>
      </x:c>
      <x:c r="BB14" s="74" t="s">
        <x:v>1122</x:v>
      </x:c>
      <x:c r="BD14" s="74" t="s">
        <x:v>552</x:v>
      </x:c>
      <x:c r="BF14" s="74" t="s">
        <x:v>1104</x:v>
      </x:c>
      <x:c r="BH14" s="74" t="s">
        <x:v>1115</x:v>
      </x:c>
      <x:c r="BJ14" s="74" t="s">
        <x:v>1124</x:v>
      </x:c>
      <x:c r="BL14" s="74" t="s">
        <x:v>568</x:v>
      </x:c>
    </x:row>
    <x:row r="15" spans="1:9">
      <x:c r="A15" s="73" t="s">
        <x:v>1145</x:v>
      </x:c>
      <x:c r="B15" s="74" t="s">
        <x:v>504</x:v>
      </x:c>
      <x:c r="C15" s="74">
        <x:v>1</x:v>
      </x:c>
      <x:c r="D15" s="74" t="s">
        <x:v>1383</x:v>
      </x:c>
      <x:c r="E15" s="74">
        <x:v>82</x:v>
      </x:c>
      <x:c r="F15" s="74" t="s">
        <x:v>517</x:v>
      </x:c>
      <x:c r="G15" s="74" t="s">
        <x:v>489</x:v>
      </x:c>
      <x:c r="H15" s="74" t="s">
        <x:v>523</x:v>
      </x:c>
      <x:c r="I15" s="74">
        <x:v>82</x:v>
      </x:c>
    </x:row>
  </x:sheetData>
  <x:hyperlinks>
    <x:hyperlink ref="B6:B6" r:id="rId1"/>
  </x:hyperlinks>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1">
    <x:tabColor rgb="ffffffff"/>
  </x:sheetPr>
  <x:dimension ref="A1:M34"/>
  <x:sheetViews>
    <x:sheetView showGridLines="0" topLeftCell="A7" zoomScale="90" zoomScaleNormal="90" zoomScaleSheetLayoutView="75" workbookViewId="0">
      <x:selection activeCell="L19" activeCellId="0" sqref="L19:L19"/>
    </x:sheetView>
  </x:sheetViews>
  <x:sheetFormatPr defaultColWidth="9.00390625" defaultRowHeight="15.4"/>
  <x:cols>
    <x:col min="1" max="1" width="5.875" style="104" customWidth="1"/>
    <x:col min="2" max="2" width="29.875" style="126" customWidth="1"/>
    <x:col min="3" max="3" width="1.25" style="104" customWidth="1"/>
    <x:col min="4" max="11" width="9" style="104"/>
    <x:col min="12" max="12" width="19.5" style="104" customWidth="1"/>
    <x:col min="13" max="21" width="9" style="104"/>
    <x:col min="22" max="22" width="0" style="104" hidden="1" customWidth="1"/>
    <x:col min="23" max="26" width="9" style="104"/>
    <x:col min="27" max="27" width="0" style="104" hidden="1" customWidth="1"/>
    <x:col min="28" max="16384" width="9" style="104"/>
  </x:cols>
  <x:sheetData>
    <x:row r="1" spans="1:13" ht="20.25" customHeight="1">
      <x:c r="A1" s="243" t="s">
        <x:v>636</x:v>
      </x:c>
      <x:c r="B1" s="244"/>
      <x:c r="C1" s="244"/>
      <x:c r="D1" s="244"/>
      <x:c r="E1" s="244"/>
      <x:c r="F1" s="244"/>
      <x:c r="G1" s="244"/>
      <x:c r="H1" s="183"/>
      <x:c r="I1" s="183"/>
      <x:c r="J1" s="250" t="s">
        <x:v>668</x:v>
      </x:c>
      <x:c r="K1" s="251"/>
      <x:c r="L1" s="251"/>
      <x:c r="M1" s="184"/>
    </x:row>
    <x:row r="2" spans="1:13" s="105" customFormat="1" ht="33.75" customHeight="1">
      <x:c r="A2" s="245"/>
      <x:c r="B2" s="246"/>
      <x:c r="C2" s="246"/>
      <x:c r="D2" s="246"/>
      <x:c r="E2" s="246"/>
      <x:c r="F2" s="246"/>
      <x:c r="G2" s="246"/>
      <x:c r="H2" s="254" t="s">
        <x:v>217</x:v>
      </x:c>
      <x:c r="I2" s="255"/>
      <x:c r="J2" s="255"/>
      <x:c r="K2" s="255"/>
      <x:c r="L2" s="255"/>
      <x:c r="M2" s="185"/>
    </x:row>
    <x:row r="4" spans="2:12" ht="17.25" customHeight="1">
      <x:c r="B4" s="252" t="s">
        <x:v>59</x:v>
      </x:c>
      <x:c r="C4" s="252"/>
      <x:c r="D4" s="252"/>
      <x:c r="E4" s="252"/>
      <x:c r="F4" s="252"/>
      <x:c r="G4" s="252"/>
      <x:c r="H4" s="252"/>
      <x:c r="I4" s="252"/>
      <x:c r="J4" s="252"/>
      <x:c r="K4" s="252"/>
      <x:c r="L4" s="252"/>
    </x:row>
    <x:row r="5" spans="2:12" ht="27.75" customHeight="1">
      <x:c r="B5" s="252"/>
      <x:c r="C5" s="252"/>
      <x:c r="D5" s="252"/>
      <x:c r="E5" s="252"/>
      <x:c r="F5" s="252"/>
      <x:c r="G5" s="252"/>
      <x:c r="H5" s="252"/>
      <x:c r="I5" s="252"/>
      <x:c r="J5" s="252"/>
      <x:c r="K5" s="252"/>
      <x:c r="L5" s="252"/>
    </x:row>
    <x:row r="6" spans="2:2" s="105" customFormat="1" ht="13">
      <x:c r="B6" s="106"/>
    </x:row>
    <x:row r="7" spans="2:4" s="105" customFormat="1" ht="18.75">
      <x:c r="B7" s="107" t="s">
        <x:v>852</x:v>
      </x:c>
      <x:c r="D7" s="108"/>
    </x:row>
    <x:row r="8" spans="2:2" s="105" customFormat="1" ht="7.5" customHeight="1">
      <x:c r="B8" s="106"/>
    </x:row>
    <x:row r="9" spans="1:12" s="105" customFormat="1" ht="34.5" customHeight="1">
      <x:c r="A9" s="109"/>
      <x:c r="B9" s="110" t="s">
        <x:v>386</x:v>
      </x:c>
      <x:c r="C9" s="109"/>
      <x:c r="D9" s="248" t="s">
        <x:v>125</x:v>
      </x:c>
      <x:c r="E9" s="248"/>
      <x:c r="F9" s="248"/>
      <x:c r="G9" s="248"/>
      <x:c r="H9" s="248"/>
      <x:c r="I9" s="248"/>
      <x:c r="J9" s="248"/>
      <x:c r="K9" s="248"/>
      <x:c r="L9" s="248"/>
    </x:row>
    <x:row r="10" spans="1:12" s="105" customFormat="1" ht="27.75" customHeight="1">
      <x:c r="A10" s="109"/>
      <x:c r="B10" s="111" t="s">
        <x:v>346</x:v>
      </x:c>
      <x:c r="C10" s="109"/>
      <x:c r="D10" s="248" t="s">
        <x:v>1035</x:v>
      </x:c>
      <x:c r="E10" s="248"/>
      <x:c r="F10" s="248"/>
      <x:c r="G10" s="248"/>
      <x:c r="H10" s="248"/>
      <x:c r="I10" s="248"/>
      <x:c r="J10" s="248"/>
      <x:c r="K10" s="248"/>
      <x:c r="L10" s="248"/>
    </x:row>
    <x:row r="11" spans="1:12" s="105" customFormat="1" ht="27.75" customHeight="1">
      <x:c r="A11" s="109"/>
      <x:c r="B11" s="112" t="s">
        <x:v>1286</x:v>
      </x:c>
      <x:c r="C11" s="109"/>
      <x:c r="D11" s="248" t="s">
        <x:v>108</x:v>
      </x:c>
      <x:c r="E11" s="248"/>
      <x:c r="F11" s="248"/>
      <x:c r="G11" s="248"/>
      <x:c r="H11" s="248"/>
      <x:c r="I11" s="248"/>
      <x:c r="J11" s="248"/>
      <x:c r="K11" s="248"/>
      <x:c r="L11" s="248"/>
    </x:row>
    <x:row r="12" spans="1:12" s="105" customFormat="1" ht="27.75" customHeight="1">
      <x:c r="A12" s="109"/>
      <x:c r="B12" s="113" t="s">
        <x:v>332</x:v>
      </x:c>
      <x:c r="C12" s="109"/>
      <x:c r="D12" s="248" t="s">
        <x:v>1061</x:v>
      </x:c>
      <x:c r="E12" s="248"/>
      <x:c r="F12" s="248"/>
      <x:c r="G12" s="248"/>
      <x:c r="H12" s="248"/>
      <x:c r="I12" s="248"/>
      <x:c r="J12" s="248"/>
      <x:c r="K12" s="248"/>
      <x:c r="L12" s="248"/>
    </x:row>
    <x:row r="13" spans="1:12" s="105" customFormat="1" ht="27.75" customHeight="1">
      <x:c r="A13" s="109"/>
      <x:c r="B13" s="114" t="s">
        <x:v>409</x:v>
      </x:c>
      <x:c r="C13" s="109"/>
      <x:c r="D13" s="248" t="s">
        <x:v>193</x:v>
      </x:c>
      <x:c r="E13" s="248"/>
      <x:c r="F13" s="248"/>
      <x:c r="G13" s="248"/>
      <x:c r="H13" s="248"/>
      <x:c r="I13" s="248"/>
      <x:c r="J13" s="248"/>
      <x:c r="K13" s="248"/>
      <x:c r="L13" s="248"/>
    </x:row>
    <x:row r="14" spans="1:12" s="105" customFormat="1" ht="27.75" customHeight="1">
      <x:c r="A14" s="109"/>
      <x:c r="B14" s="114" t="s">
        <x:v>1189</x:v>
      </x:c>
      <x:c r="C14" s="109"/>
      <x:c r="D14" s="253" t="s">
        <x:v>262</x:v>
      </x:c>
      <x:c r="E14" s="253"/>
      <x:c r="F14" s="253"/>
      <x:c r="G14" s="253"/>
      <x:c r="H14" s="253"/>
      <x:c r="I14" s="253"/>
      <x:c r="J14" s="253"/>
      <x:c r="K14" s="253"/>
      <x:c r="L14" s="253"/>
    </x:row>
    <x:row r="15" spans="1:12" s="105" customFormat="1" ht="27.75" customHeight="1">
      <x:c r="A15" s="109"/>
      <x:c r="B15" s="115" t="s">
        <x:v>1143</x:v>
      </x:c>
      <x:c r="C15" s="109"/>
      <x:c r="D15" s="248" t="s">
        <x:v>664</x:v>
      </x:c>
      <x:c r="E15" s="248"/>
      <x:c r="F15" s="248"/>
      <x:c r="G15" s="248"/>
      <x:c r="H15" s="248"/>
      <x:c r="I15" s="248"/>
      <x:c r="J15" s="248"/>
      <x:c r="K15" s="248"/>
      <x:c r="L15" s="248"/>
    </x:row>
    <x:row r="16" spans="1:12">
      <x:c r="A16" s="116"/>
      <x:c r="B16" s="117"/>
      <x:c r="C16" s="116"/>
      <x:c r="D16" s="118"/>
      <x:c r="E16" s="118"/>
      <x:c r="F16" s="118"/>
      <x:c r="G16" s="118"/>
      <x:c r="H16" s="118"/>
      <x:c r="I16" s="118"/>
      <x:c r="J16" s="118"/>
      <x:c r="K16" s="118"/>
      <x:c r="L16" s="118"/>
    </x:row>
    <x:row r="17" spans="2:4" s="105" customFormat="1" ht="18.75">
      <x:c r="B17" s="107" t="s">
        <x:v>1521</x:v>
      </x:c>
      <x:c r="D17" s="108"/>
    </x:row>
    <x:row r="18" spans="2:4" s="105" customFormat="1" ht="5.25" customHeight="1">
      <x:c r="B18" s="119"/>
      <x:c r="D18" s="108"/>
    </x:row>
    <x:row r="19" spans="2:12" s="105" customFormat="1" ht="24.75" customHeight="1">
      <x:c r="B19" s="120" t="s">
        <x:v>848</x:v>
      </x:c>
      <x:c r="D19" s="247" t="s">
        <x:v>1016</x:v>
      </x:c>
      <x:c r="E19" s="247"/>
      <x:c r="F19" s="247"/>
      <x:c r="G19" s="247"/>
      <x:c r="H19" s="247"/>
      <x:c r="I19" s="247"/>
      <x:c r="J19" s="247"/>
      <x:c r="K19" s="247"/>
      <x:c r="L19" s="127" t="s">
        <x:v>1514</x:v>
      </x:c>
    </x:row>
    <x:row r="20" spans="2:12" s="105" customFormat="1" ht="41.25" customHeight="1">
      <x:c r="B20" s="120" t="s">
        <x:v>1342</x:v>
      </x:c>
      <x:c r="D20" s="247" t="s">
        <x:v>44</x:v>
      </x:c>
      <x:c r="E20" s="247"/>
      <x:c r="F20" s="247"/>
      <x:c r="G20" s="247"/>
      <x:c r="H20" s="247"/>
      <x:c r="I20" s="247"/>
      <x:c r="J20" s="247"/>
      <x:c r="K20" s="247"/>
      <x:c r="L20" s="127" t="s">
        <x:v>1514</x:v>
      </x:c>
    </x:row>
    <x:row r="21" spans="2:12" s="105" customFormat="1" ht="37.5" customHeight="1">
      <x:c r="B21" s="120" t="s">
        <x:v>1329</x:v>
      </x:c>
      <x:c r="D21" s="247" t="s">
        <x:v>293</x:v>
      </x:c>
      <x:c r="E21" s="247"/>
      <x:c r="F21" s="247"/>
      <x:c r="G21" s="247"/>
      <x:c r="H21" s="247"/>
      <x:c r="I21" s="247"/>
      <x:c r="J21" s="247"/>
      <x:c r="K21" s="247"/>
      <x:c r="L21" s="127" t="s">
        <x:v>1514</x:v>
      </x:c>
    </x:row>
    <x:row r="22" spans="2:12" s="105" customFormat="1" ht="41.25" customHeight="1">
      <x:c r="B22" s="120" t="s">
        <x:v>1067</x:v>
      </x:c>
      <x:c r="D22" s="247" t="s">
        <x:v>1002</x:v>
      </x:c>
      <x:c r="E22" s="247"/>
      <x:c r="F22" s="247"/>
      <x:c r="G22" s="247"/>
      <x:c r="H22" s="247"/>
      <x:c r="I22" s="247"/>
      <x:c r="J22" s="247"/>
      <x:c r="K22" s="247"/>
      <x:c r="L22" s="127" t="s">
        <x:v>1514</x:v>
      </x:c>
    </x:row>
    <x:row r="23" spans="2:12" s="105" customFormat="1" ht="36" customHeight="1">
      <x:c r="B23" s="120" t="s">
        <x:v>849</x:v>
      </x:c>
      <x:c r="D23" s="247" t="s">
        <x:v>233</x:v>
      </x:c>
      <x:c r="E23" s="247"/>
      <x:c r="F23" s="247"/>
      <x:c r="G23" s="247"/>
      <x:c r="H23" s="247"/>
      <x:c r="I23" s="247"/>
      <x:c r="J23" s="247"/>
      <x:c r="K23" s="247"/>
      <x:c r="L23" s="127" t="s">
        <x:v>1514</x:v>
      </x:c>
    </x:row>
    <x:row r="24" spans="2:12" s="105" customFormat="1" ht="52.5" customHeight="1">
      <x:c r="B24" s="120" t="s">
        <x:v>389</x:v>
      </x:c>
      <x:c r="D24" s="247" t="s">
        <x:v>16</x:v>
      </x:c>
      <x:c r="E24" s="247"/>
      <x:c r="F24" s="247"/>
      <x:c r="G24" s="247"/>
      <x:c r="H24" s="247"/>
      <x:c r="I24" s="247"/>
      <x:c r="J24" s="247"/>
      <x:c r="K24" s="247"/>
      <x:c r="L24" s="127" t="s">
        <x:v>1514</x:v>
      </x:c>
    </x:row>
    <x:row r="25" spans="2:12" s="105" customFormat="1" ht="57" customHeight="1">
      <x:c r="B25" s="120" t="s">
        <x:v>1461</x:v>
      </x:c>
      <x:c r="D25" s="247" t="s">
        <x:v>110</x:v>
      </x:c>
      <x:c r="E25" s="247"/>
      <x:c r="F25" s="247"/>
      <x:c r="G25" s="247"/>
      <x:c r="H25" s="247"/>
      <x:c r="I25" s="247"/>
      <x:c r="J25" s="247"/>
      <x:c r="K25" s="247"/>
      <x:c r="L25" s="127" t="s">
        <x:v>1514</x:v>
      </x:c>
    </x:row>
    <x:row r="26" spans="2:12" s="105" customFormat="1" ht="48.75" customHeight="1">
      <x:c r="B26" s="120" t="s">
        <x:v>545</x:v>
      </x:c>
      <x:c r="D26" s="247" t="s">
        <x:v>47</x:v>
      </x:c>
      <x:c r="E26" s="247"/>
      <x:c r="F26" s="247"/>
      <x:c r="G26" s="247"/>
      <x:c r="H26" s="247"/>
      <x:c r="I26" s="247"/>
      <x:c r="J26" s="247"/>
      <x:c r="K26" s="247"/>
      <x:c r="L26" s="127" t="s">
        <x:v>1514</x:v>
      </x:c>
    </x:row>
    <x:row r="27" spans="2:12" s="105" customFormat="1" ht="43.5" customHeight="1">
      <x:c r="B27" s="120" t="s">
        <x:v>860</x:v>
      </x:c>
      <x:c r="D27" s="247" t="s">
        <x:v>103</x:v>
      </x:c>
      <x:c r="E27" s="247"/>
      <x:c r="F27" s="247"/>
      <x:c r="G27" s="247"/>
      <x:c r="H27" s="247"/>
      <x:c r="I27" s="247"/>
      <x:c r="J27" s="247"/>
      <x:c r="K27" s="247"/>
      <x:c r="L27" s="127" t="s">
        <x:v>1514</x:v>
      </x:c>
    </x:row>
    <x:row r="28" spans="2:12" s="105" customFormat="1" ht="43.5" customHeight="1">
      <x:c r="B28" s="120" t="s">
        <x:v>1332</x:v>
      </x:c>
      <x:c r="D28" s="247" t="s">
        <x:v>358</x:v>
      </x:c>
      <x:c r="E28" s="247"/>
      <x:c r="F28" s="247"/>
      <x:c r="G28" s="247"/>
      <x:c r="H28" s="247"/>
      <x:c r="I28" s="247"/>
      <x:c r="J28" s="247"/>
      <x:c r="K28" s="247"/>
      <x:c r="L28" s="127" t="s">
        <x:v>1514</x:v>
      </x:c>
    </x:row>
    <x:row r="29" spans="2:12" s="105" customFormat="1" ht="50.25" customHeight="1">
      <x:c r="B29" s="120" t="s">
        <x:v>332</x:v>
      </x:c>
      <x:c r="D29" s="247" t="s">
        <x:v>80</x:v>
      </x:c>
      <x:c r="E29" s="247"/>
      <x:c r="F29" s="247"/>
      <x:c r="G29" s="247"/>
      <x:c r="H29" s="247"/>
      <x:c r="I29" s="247"/>
      <x:c r="J29" s="247"/>
      <x:c r="K29" s="247"/>
      <x:c r="L29" s="127" t="s">
        <x:v>1514</x:v>
      </x:c>
    </x:row>
    <x:row r="30" spans="2:12" s="105" customFormat="1" ht="57.75" customHeight="1">
      <x:c r="B30" s="120" t="s">
        <x:v>427</x:v>
      </x:c>
      <x:c r="D30" s="247" t="s">
        <x:v>676</x:v>
      </x:c>
      <x:c r="E30" s="247"/>
      <x:c r="F30" s="247"/>
      <x:c r="G30" s="247"/>
      <x:c r="H30" s="247"/>
      <x:c r="I30" s="247"/>
      <x:c r="J30" s="247"/>
      <x:c r="K30" s="247"/>
      <x:c r="L30" s="127" t="s">
        <x:v>1514</x:v>
      </x:c>
    </x:row>
    <x:row r="31" spans="2:12" s="105" customFormat="1" ht="67.5" customHeight="1">
      <x:c r="B31" s="120" t="s">
        <x:v>1073</x:v>
      </x:c>
      <x:c r="D31" s="247" t="s">
        <x:v>281</x:v>
      </x:c>
      <x:c r="E31" s="247"/>
      <x:c r="F31" s="247"/>
      <x:c r="G31" s="247"/>
      <x:c r="H31" s="247"/>
      <x:c r="I31" s="247"/>
      <x:c r="J31" s="247"/>
      <x:c r="K31" s="247"/>
      <x:c r="L31" s="127" t="s">
        <x:v>1514</x:v>
      </x:c>
    </x:row>
    <x:row r="32" spans="2:12" s="105" customFormat="1" ht="14.199999999999999">
      <x:c r="B32" s="121"/>
      <x:c r="D32" s="108"/>
      <x:c r="L32" s="109"/>
    </x:row>
    <x:row r="33" spans="2:12" s="105" customFormat="1" ht="18.75" customHeight="1">
      <x:c r="B33" s="122" t="s">
        <x:v>526</x:v>
      </x:c>
      <x:c r="C33" s="123"/>
      <x:c r="D33" s="124"/>
      <x:c r="E33" s="123"/>
      <x:c r="F33" s="123"/>
      <x:c r="G33" s="123"/>
      <x:c r="H33" s="123"/>
      <x:c r="I33" s="123"/>
      <x:c r="J33" s="123"/>
      <x:c r="K33" s="123"/>
      <x:c r="L33" s="125"/>
    </x:row>
    <x:row r="34" spans="2:12" s="105" customFormat="1" ht="59.25" customHeight="1">
      <x:c r="B34" s="249" t="s">
        <x:v>41</x:v>
      </x:c>
      <x:c r="C34" s="249"/>
      <x:c r="D34" s="249"/>
      <x:c r="E34" s="249"/>
      <x:c r="F34" s="249"/>
      <x:c r="G34" s="249"/>
      <x:c r="H34" s="249"/>
      <x:c r="I34" s="249"/>
      <x:c r="J34" s="249"/>
      <x:c r="K34" s="249"/>
      <x:c r="L34" s="249"/>
    </x:row>
  </x:sheetData>
  <x:mergeCells count="25">
    <x:mergeCell ref="A1:G2"/>
    <x:mergeCell ref="D26:K26"/>
    <x:mergeCell ref="D27:K27"/>
    <x:mergeCell ref="D28:K28"/>
    <x:mergeCell ref="D11:L11"/>
    <x:mergeCell ref="D12:L12"/>
    <x:mergeCell ref="D15:L15"/>
    <x:mergeCell ref="D13:L13"/>
    <x:mergeCell ref="D24:K24"/>
    <x:mergeCell ref="D29:K29"/>
    <x:mergeCell ref="D30:K30"/>
    <x:mergeCell ref="B34:L34"/>
    <x:mergeCell ref="D31:K31"/>
    <x:mergeCell ref="J1:L1"/>
    <x:mergeCell ref="D20:K20"/>
    <x:mergeCell ref="D21:K21"/>
    <x:mergeCell ref="D22:K22"/>
    <x:mergeCell ref="B4:L5"/>
    <x:mergeCell ref="D19:K19"/>
    <x:mergeCell ref="D14:L14"/>
    <x:mergeCell ref="D9:L9"/>
    <x:mergeCell ref="D10:L10"/>
    <x:mergeCell ref="D25:K25"/>
    <x:mergeCell ref="H2:L2"/>
    <x:mergeCell ref="D23:K23"/>
  </x:mergeCells>
  <x:hyperlinks>
    <x:hyperlink ref="B9:B9" location=""/>
    <x:hyperlink ref="B10:B10" location=""/>
    <x:hyperlink ref="B11:B11" location=""/>
    <x:hyperlink ref="B13:B13" location=""/>
    <x:hyperlink ref="B14:B14" location=""/>
    <x:hyperlink ref="L19:L19" r:id="rId1"/>
    <x:hyperlink ref="L20:L20" r:id="rId2"/>
    <x:hyperlink ref="L21:L21" r:id="rId3"/>
    <x:hyperlink ref="L23:L23" r:id="rId4"/>
    <x:hyperlink ref="L24:L24" r:id="rId5"/>
    <x:hyperlink ref="L25:L25" r:id="rId6"/>
    <x:hyperlink ref="L26:L26" r:id="rId7"/>
    <x:hyperlink ref="L27:L27" r:id="rId8"/>
    <x:hyperlink ref="L28:L28" r:id="rId9"/>
    <x:hyperlink ref="L29:L29" r:id="rId10"/>
    <x:hyperlink ref="L30:L30" r:id="rId11"/>
    <x:hyperlink ref="L22:L22" r:id="rId12"/>
    <x:hyperlink ref="L31:L31" r:id="rId13"/>
    <x:hyperlink ref="B12:B12" location=""/>
    <x:hyperlink ref="J1:J1" r:id="rId14"/>
    <x:hyperlink ref="H2:H2" r:id="rId14"/>
  </x:hyperlinks>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300" verticalDpi="30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8">
    <x:tabColor rgb="ff00a44a"/>
    <x:pageSetUpPr autoPageBreaks="1" fitToPage="1"/>
  </x:sheetPr>
  <x:dimension ref="A1:GJ49"/>
  <x:sheetViews>
    <x:sheetView tabSelected="1" topLeftCell="E1" zoomScaleNormal="100" zoomScaleSheetLayoutView="75" workbookViewId="0">
      <x:pane xSplit="0" ySplit="4" topLeftCell="E5" activePane="bottomLeft" state="frozen"/>
      <x:selection pane="bottomLeft" activeCell="E1" activeCellId="0" sqref="E1:E1"/>
    </x:sheetView>
  </x:sheetViews>
  <x:sheetFormatPr defaultColWidth="10" defaultRowHeight="12" customHeight="1"/>
  <x:cols>
    <x:col min="1" max="1" width="9.125" style="144" hidden="1" customWidth="1"/>
    <x:col min="2" max="2" width="9" style="144" hidden="1" customWidth="1"/>
    <x:col min="3" max="3" width="8.375" style="144" hidden="1" customWidth="1"/>
    <x:col min="4" max="4" width="9.75" style="186" customWidth="1"/>
    <x:col min="5" max="13" width="2.75" style="145" customWidth="1"/>
    <x:col min="14" max="14" width="4.5" style="145" bestFit="1" customWidth="1"/>
    <x:col min="15" max="15" width="5.25" style="145" bestFit="1" customWidth="1"/>
    <x:col min="16" max="17" width="9.875" style="146" bestFit="1" customWidth="1"/>
    <x:col min="18" max="18" width="7.625" style="147" hidden="1" customWidth="1"/>
    <x:col min="19" max="19" width="6.375" style="148" bestFit="1" customWidth="1"/>
    <x:col min="20" max="20" width="4.875" style="148" bestFit="1" customWidth="1"/>
    <x:col min="21" max="21" width="5.875" style="148" bestFit="1" customWidth="1"/>
    <x:col min="22" max="22" width="5" style="148" bestFit="1" customWidth="1"/>
    <x:col min="23" max="24" width="9.75" style="146" hidden="1" customWidth="1"/>
    <x:col min="25" max="25" width="7.5" style="149" hidden="1" customWidth="1"/>
    <x:col min="26" max="26" width="6" style="150" hidden="1" customWidth="1"/>
    <x:col min="27" max="27" width="6.125" style="148" hidden="1" customWidth="1"/>
    <x:col min="28" max="28" width="20.625" style="147" bestFit="1" customWidth="1"/>
    <x:col min="29" max="29" width="10.25" style="151" bestFit="1" customWidth="1"/>
    <x:col min="30" max="30" width="7.75" style="152" bestFit="1" customWidth="1"/>
    <x:col min="31" max="31" width="7.25" style="153" customWidth="1"/>
    <x:col min="32" max="192" width="1.875" style="143" customWidth="1"/>
    <x:col min="193" max="16384" width="10" style="143"/>
  </x:cols>
  <x:sheetData>
    <x:row r="1" spans="1:62" s="140" customFormat="1" ht="20.100000000000001" customHeight="1">
      <x:c r="A1" s="154"/>
      <x:c r="B1" s="155"/>
      <x:c r="C1" s="156"/>
      <x:c r="D1" s="187" t="e">
        <x:f t="array" ref="D1:D1">xlgantt.ProjectName()</x:f>
        <x:v>#NAME?</x:v>
      </x:c>
      <x:c r="E1" s="157"/>
      <x:c r="F1" s="157"/>
      <x:c r="G1" s="157"/>
      <x:c r="H1" s="157"/>
      <x:c r="I1" s="157"/>
      <x:c r="J1" s="157"/>
      <x:c r="K1" s="157"/>
      <x:c r="L1" s="157"/>
      <x:c r="M1" s="157"/>
      <x:c r="N1" s="157"/>
      <x:c r="O1" s="157"/>
      <x:c r="P1" s="157"/>
      <x:c r="Q1" s="158"/>
      <x:c r="R1" s="159"/>
      <x:c r="S1" s="160"/>
      <x:c r="T1" s="161"/>
      <x:c r="U1" s="162"/>
      <x:c r="V1" s="162"/>
      <x:c r="W1" s="163"/>
      <x:c r="X1" s="163"/>
      <x:c r="Y1" s="155"/>
      <x:c r="Z1" s="164"/>
      <x:c r="AA1" s="165"/>
      <x:c r="AB1" s="166"/>
      <x:c r="AC1" s="167"/>
      <x:c r="AD1" s="168"/>
      <x:c r="AE1" s="169" t="e">
        <x:f t="array" ref="AE1:AE1">xlgantt.ProjectProgressString()</x:f>
        <x:v>#NAME?</x:v>
      </x:c>
      <x:c r="AF1" s="175" t="s">
        <x:v>324</x:v>
      </x:c>
      <x:c r="AG1" s="139"/>
      <x:c r="AH1" s="139"/>
      <x:c r="AI1" s="139"/>
      <x:c r="AJ1" s="139"/>
      <x:c r="AK1" s="139"/>
      <x:c r="AL1" s="139"/>
      <x:c r="AM1" s="139"/>
      <x:c r="AN1" s="139"/>
      <x:c r="AO1" s="139"/>
      <x:c r="AP1" s="139"/>
      <x:c r="AQ1" s="139"/>
      <x:c r="AR1" s="139"/>
      <x:c r="AS1" s="139"/>
      <x:c r="AT1" s="139"/>
      <x:c r="AU1" s="139"/>
      <x:c r="AV1" s="139"/>
      <x:c r="AW1" s="139"/>
      <x:c r="AX1" s="139"/>
      <x:c r="AY1" s="139"/>
      <x:c r="AZ1" s="139"/>
      <x:c r="BA1" s="139"/>
      <x:c r="BB1" s="139"/>
      <x:c r="BC1" s="139"/>
      <x:c r="BD1" s="139"/>
      <x:c r="BE1" s="139"/>
      <x:c r="BF1" s="139"/>
      <x:c r="BG1" s="139"/>
      <x:c r="BH1" s="139"/>
      <x:c r="BI1" s="139"/>
      <x:c r="BJ1" s="139"/>
    </x:row>
    <x:row r="2" spans="1:192" s="140" customFormat="1" ht="15" customHeight="1">
      <x:c r="A2" s="154"/>
      <x:c r="B2" s="154"/>
      <x:c r="C2" s="156"/>
      <x:c r="D2" s="275"/>
      <x:c r="E2" s="275"/>
      <x:c r="F2" s="275"/>
      <x:c r="G2" s="170"/>
      <x:c r="H2" s="171"/>
      <x:c r="I2" s="170"/>
      <x:c r="J2" s="170"/>
      <x:c r="K2" s="170"/>
      <x:c r="L2" s="170"/>
      <x:c r="M2" s="170"/>
      <x:c r="N2" s="170"/>
      <x:c r="O2" s="170"/>
      <x:c r="P2" s="170"/>
      <x:c r="Q2" s="170"/>
      <x:c r="R2" s="170"/>
      <x:c r="S2" s="172"/>
      <x:c r="T2" s="172"/>
      <x:c r="U2" s="172"/>
      <x:c r="V2" s="172"/>
      <x:c r="W2" s="170"/>
      <x:c r="X2" s="170"/>
      <x:c r="Y2" s="170"/>
      <x:c r="Z2" s="170"/>
      <x:c r="AA2" s="170"/>
      <x:c r="AB2" s="170"/>
      <x:c r="AC2" s="173"/>
      <x:c r="AD2" s="174"/>
      <x:c r="AE2" s="170" t="e">
        <x:f t="array" ref="AE2:AE2">xlgantt.CommentOnHeadArea()</x:f>
        <x:v>#NAME?</x:v>
      </x:c>
      <x:c r="AF2" s="289" t="s">
        <x:v>1525</x:v>
      </x:c>
      <x:c r="AG2" s="289"/>
      <x:c r="AH2" s="289"/>
      <x:c r="AI2" s="289"/>
      <x:c r="AJ2" s="289" t="s">
        <x:v>1504</x:v>
      </x:c>
      <x:c r="AK2" s="289"/>
      <x:c r="AL2" s="289"/>
      <x:c r="AM2" s="289"/>
      <x:c r="AN2" s="289" t="s">
        <x:v>1503</x:v>
      </x:c>
      <x:c r="AO2" s="289"/>
      <x:c r="AP2" s="289"/>
      <x:c r="AQ2" s="289"/>
      <x:c r="AR2" s="289" t="s">
        <x:v>1509</x:v>
      </x:c>
      <x:c r="AS2" s="289"/>
      <x:c r="AT2" s="289"/>
      <x:c r="AU2" s="289"/>
      <x:c r="AV2" s="289" t="s">
        <x:v>1533</x:v>
      </x:c>
      <x:c r="AW2" s="289"/>
      <x:c r="AX2" s="289"/>
      <x:c r="AY2" s="289"/>
      <x:c r="AZ2" s="289" t="s">
        <x:v>1545</x:v>
      </x:c>
      <x:c r="BA2" s="289"/>
      <x:c r="BB2" s="289"/>
      <x:c r="BC2" s="289"/>
      <x:c r="BD2" s="225"/>
      <x:c r="BE2" s="225"/>
      <x:c r="BF2" s="225"/>
      <x:c r="BG2" s="225"/>
      <x:c r="BH2" s="225"/>
      <x:c r="BI2" s="225"/>
      <x:c r="BJ2" s="225"/>
      <x:c r="BK2" s="225"/>
      <x:c r="BL2" s="225"/>
      <x:c r="BM2" s="225"/>
      <x:c r="BN2" s="225"/>
      <x:c r="BO2" s="225"/>
      <x:c r="BP2" s="225"/>
      <x:c r="BQ2" s="225"/>
      <x:c r="BR2" s="225"/>
      <x:c r="BS2" s="225"/>
      <x:c r="BT2" s="225"/>
      <x:c r="BU2" s="225"/>
      <x:c r="BV2" s="225"/>
      <x:c r="BW2" s="225"/>
      <x:c r="BX2" s="225"/>
      <x:c r="BY2" s="225"/>
      <x:c r="BZ2" s="225"/>
      <x:c r="CA2" s="225"/>
      <x:c r="CB2" s="225"/>
      <x:c r="CC2" s="225"/>
      <x:c r="CD2" s="225"/>
      <x:c r="CE2" s="225"/>
      <x:c r="CF2" s="225"/>
      <x:c r="CG2" s="225"/>
      <x:c r="CH2" s="225"/>
      <x:c r="CI2" s="225"/>
      <x:c r="CJ2" s="225"/>
      <x:c r="CK2" s="225"/>
      <x:c r="CL2" s="225"/>
      <x:c r="CM2" s="225"/>
      <x:c r="CN2" s="225"/>
      <x:c r="CO2" s="225"/>
      <x:c r="CP2" s="225"/>
      <x:c r="CQ2" s="225"/>
      <x:c r="CR2" s="225"/>
      <x:c r="CS2" s="225"/>
      <x:c r="CT2" s="225"/>
      <x:c r="CU2" s="225"/>
      <x:c r="CV2" s="225"/>
      <x:c r="CW2" s="225"/>
      <x:c r="CX2" s="225"/>
      <x:c r="CY2" s="225"/>
      <x:c r="CZ2" s="225"/>
      <x:c r="DA2" s="225"/>
      <x:c r="DB2" s="225"/>
      <x:c r="DC2" s="225"/>
      <x:c r="DD2" s="225"/>
      <x:c r="DE2" s="225"/>
      <x:c r="DF2" s="225"/>
      <x:c r="DG2" s="225"/>
      <x:c r="DH2" s="225"/>
      <x:c r="DI2" s="225"/>
      <x:c r="DJ2" s="225"/>
      <x:c r="DK2" s="225"/>
      <x:c r="DL2" s="225"/>
      <x:c r="DM2" s="225"/>
      <x:c r="DN2" s="225"/>
      <x:c r="DO2" s="225"/>
      <x:c r="DP2" s="225"/>
      <x:c r="DQ2" s="225"/>
      <x:c r="DR2" s="225"/>
      <x:c r="DS2" s="225"/>
      <x:c r="DT2" s="225"/>
      <x:c r="DU2" s="225"/>
      <x:c r="DV2" s="225"/>
      <x:c r="DW2" s="225"/>
      <x:c r="DX2" s="225"/>
      <x:c r="DY2" s="225"/>
      <x:c r="DZ2" s="225"/>
      <x:c r="EA2" s="225"/>
      <x:c r="EB2" s="225"/>
      <x:c r="EC2" s="225"/>
      <x:c r="ED2" s="225"/>
      <x:c r="EE2" s="225"/>
      <x:c r="EF2" s="225"/>
      <x:c r="EG2" s="225"/>
      <x:c r="EH2" s="225"/>
      <x:c r="EI2" s="225"/>
      <x:c r="EJ2" s="225"/>
      <x:c r="EK2" s="225"/>
      <x:c r="EL2" s="225"/>
      <x:c r="EM2" s="225"/>
      <x:c r="EN2" s="225"/>
      <x:c r="EO2" s="225"/>
      <x:c r="EP2" s="225"/>
      <x:c r="EQ2" s="225"/>
      <x:c r="ER2" s="225"/>
      <x:c r="ES2" s="225"/>
      <x:c r="ET2" s="225"/>
      <x:c r="EU2" s="225"/>
      <x:c r="EV2" s="225"/>
      <x:c r="EW2" s="225"/>
      <x:c r="EX2" s="225"/>
      <x:c r="EY2" s="225"/>
      <x:c r="EZ2" s="225"/>
      <x:c r="FA2" s="225"/>
      <x:c r="FB2" s="225"/>
      <x:c r="FC2" s="225"/>
      <x:c r="FD2" s="225"/>
      <x:c r="FE2" s="225"/>
      <x:c r="FF2" s="225"/>
      <x:c r="FG2" s="225"/>
      <x:c r="FH2" s="225"/>
      <x:c r="FI2" s="225"/>
      <x:c r="FJ2" s="225"/>
      <x:c r="FK2" s="225"/>
      <x:c r="FL2" s="225"/>
      <x:c r="FM2" s="225"/>
      <x:c r="FN2" s="225"/>
      <x:c r="FO2" s="225"/>
      <x:c r="FP2" s="225"/>
      <x:c r="FQ2" s="225"/>
      <x:c r="FR2" s="225"/>
      <x:c r="FS2" s="225"/>
      <x:c r="FT2" s="225"/>
      <x:c r="FU2" s="225"/>
      <x:c r="FV2" s="225"/>
      <x:c r="FW2" s="225"/>
      <x:c r="FX2" s="225"/>
      <x:c r="FY2" s="225"/>
      <x:c r="FZ2" s="225"/>
      <x:c r="GA2" s="225"/>
      <x:c r="GB2" s="225"/>
      <x:c r="GC2" s="225"/>
      <x:c r="GD2" s="225"/>
      <x:c r="GE2" s="225"/>
      <x:c r="GF2" s="225"/>
      <x:c r="GG2" s="225"/>
      <x:c r="GH2" s="225"/>
      <x:c r="GI2" s="225"/>
      <x:c r="GJ2" s="225"/>
    </x:row>
    <x:row r="3" spans="1:55" s="141" customFormat="1" ht="18.949999999999999" customHeight="1">
      <x:c r="A3" s="262" t="s">
        <x:v>391</x:v>
      </x:c>
      <x:c r="B3" s="264" t="s">
        <x:v>387</x:v>
      </x:c>
      <x:c r="C3" s="266" t="s">
        <x:v>390</x:v>
      </x:c>
      <x:c r="D3" s="267" t="s">
        <x:v>1465</x:v>
      </x:c>
      <x:c r="E3" s="269" t="s">
        <x:v>1544</x:v>
      </x:c>
      <x:c r="F3" s="270"/>
      <x:c r="G3" s="270"/>
      <x:c r="H3" s="270"/>
      <x:c r="I3" s="270"/>
      <x:c r="J3" s="270"/>
      <x:c r="K3" s="270"/>
      <x:c r="L3" s="270"/>
      <x:c r="M3" s="270"/>
      <x:c r="N3" s="270"/>
      <x:c r="O3" s="260" t="s">
        <x:v>1445</x:v>
      </x:c>
      <x:c r="P3" s="260" t="s">
        <x:v>888</x:v>
      </x:c>
      <x:c r="Q3" s="260" t="s">
        <x:v>885</x:v>
      </x:c>
      <x:c r="R3" s="281" t="s">
        <x:v>332</x:v>
      </x:c>
      <x:c r="S3" s="276" t="s">
        <x:v>875</x:v>
      </x:c>
      <x:c r="T3" s="283" t="s">
        <x:v>865</x:v>
      </x:c>
      <x:c r="U3" s="276" t="s">
        <x:v>868</x:v>
      </x:c>
      <x:c r="V3" s="276" t="s">
        <x:v>878</x:v>
      </x:c>
      <x:c r="W3" s="278" t="s">
        <x:v>886</x:v>
      </x:c>
      <x:c r="X3" s="278" t="s">
        <x:v>873</x:v>
      </x:c>
      <x:c r="Y3" s="285" t="s">
        <x:v>463</x:v>
      </x:c>
      <x:c r="Z3" s="279" t="s">
        <x:v>871</x:v>
      </x:c>
      <x:c r="AA3" s="272" t="s">
        <x:v>1450</x:v>
      </x:c>
      <x:c r="AB3" s="260" t="s">
        <x:v>1447</x:v>
      </x:c>
      <x:c r="AC3" s="274" t="s">
        <x:v>1461</x:v>
      </x:c>
      <x:c r="AD3" s="258" t="s">
        <x:v>1443</x:v>
      </x:c>
      <x:c r="AE3" s="256" t="s">
        <x:v>1543</x:v>
      </x:c>
      <x:c r="AF3" s="291" t="s">
        <x:v>954</x:v>
      </x:c>
      <x:c r="AG3" s="288"/>
      <x:c r="AH3" s="288"/>
      <x:c r="AI3" s="288"/>
      <x:c r="AJ3" s="287" t="s">
        <x:v>953</x:v>
      </x:c>
      <x:c r="AK3" s="288"/>
      <x:c r="AL3" s="288"/>
      <x:c r="AM3" s="288"/>
      <x:c r="AN3" s="287" t="s">
        <x:v>955</x:v>
      </x:c>
      <x:c r="AO3" s="288"/>
      <x:c r="AP3" s="288"/>
      <x:c r="AQ3" s="288"/>
      <x:c r="AR3" s="287" t="s">
        <x:v>956</x:v>
      </x:c>
      <x:c r="AS3" s="288"/>
      <x:c r="AT3" s="288"/>
      <x:c r="AU3" s="288"/>
      <x:c r="AV3" s="287" t="s">
        <x:v>957</x:v>
      </x:c>
      <x:c r="AW3" s="288"/>
      <x:c r="AX3" s="288"/>
      <x:c r="AY3" s="288"/>
      <x:c r="AZ3" s="287" t="s">
        <x:v>958</x:v>
      </x:c>
      <x:c r="BA3" s="288"/>
      <x:c r="BB3" s="288"/>
      <x:c r="BC3" s="290"/>
    </x:row>
    <x:row r="4" spans="1:192" s="142" customFormat="1" ht="6" customHeight="1">
      <x:c r="A4" s="263"/>
      <x:c r="B4" s="265"/>
      <x:c r="C4" s="262"/>
      <x:c r="D4" s="268"/>
      <x:c r="E4" s="271"/>
      <x:c r="F4" s="270"/>
      <x:c r="G4" s="270"/>
      <x:c r="H4" s="270"/>
      <x:c r="I4" s="270"/>
      <x:c r="J4" s="270"/>
      <x:c r="K4" s="270"/>
      <x:c r="L4" s="270"/>
      <x:c r="M4" s="270"/>
      <x:c r="N4" s="270"/>
      <x:c r="O4" s="261"/>
      <x:c r="P4" s="261"/>
      <x:c r="Q4" s="261"/>
      <x:c r="R4" s="282"/>
      <x:c r="S4" s="277"/>
      <x:c r="T4" s="284"/>
      <x:c r="U4" s="277"/>
      <x:c r="V4" s="277"/>
      <x:c r="W4" s="261"/>
      <x:c r="X4" s="261"/>
      <x:c r="Y4" s="286"/>
      <x:c r="Z4" s="280"/>
      <x:c r="AA4" s="273"/>
      <x:c r="AB4" s="261"/>
      <x:c r="AC4" s="268"/>
      <x:c r="AD4" s="259"/>
      <x:c r="AE4" s="257"/>
      <x:c r="AF4" s="188">
        <x:v>44332</x:v>
      </x:c>
      <x:c r="AG4" s="189">
        <x:v>44339</x:v>
      </x:c>
      <x:c r="AH4" s="189">
        <x:v>44346</x:v>
      </x:c>
      <x:c r="AI4" s="189">
        <x:v>44353</x:v>
      </x:c>
      <x:c r="AJ4" s="189">
        <x:v>44360</x:v>
      </x:c>
      <x:c r="AK4" s="189">
        <x:v>44367</x:v>
      </x:c>
      <x:c r="AL4" s="189">
        <x:v>44374</x:v>
      </x:c>
      <x:c r="AM4" s="189">
        <x:v>44381</x:v>
      </x:c>
      <x:c r="AN4" s="189">
        <x:v>44388</x:v>
      </x:c>
      <x:c r="AO4" s="189">
        <x:v>44395</x:v>
      </x:c>
      <x:c r="AP4" s="189">
        <x:v>44402</x:v>
      </x:c>
      <x:c r="AQ4" s="189">
        <x:v>44409</x:v>
      </x:c>
      <x:c r="AR4" s="189">
        <x:v>44416</x:v>
      </x:c>
      <x:c r="AS4" s="189">
        <x:v>44423</x:v>
      </x:c>
      <x:c r="AT4" s="189">
        <x:v>44430</x:v>
      </x:c>
      <x:c r="AU4" s="189">
        <x:v>44437</x:v>
      </x:c>
      <x:c r="AV4" s="189">
        <x:v>44444</x:v>
      </x:c>
      <x:c r="AW4" s="189">
        <x:v>44451</x:v>
      </x:c>
      <x:c r="AX4" s="189">
        <x:v>44458</x:v>
      </x:c>
      <x:c r="AY4" s="189">
        <x:v>44465</x:v>
      </x:c>
      <x:c r="AZ4" s="189">
        <x:v>44472</x:v>
      </x:c>
      <x:c r="BA4" s="189">
        <x:v>44479</x:v>
      </x:c>
      <x:c r="BB4" s="189">
        <x:v>44486</x:v>
      </x:c>
      <x:c r="BC4" s="220"/>
      <x:c r="BD4" s="221"/>
      <x:c r="BE4" s="221"/>
      <x:c r="BF4" s="221"/>
      <x:c r="BG4" s="221"/>
      <x:c r="BH4" s="221"/>
      <x:c r="BI4" s="221"/>
      <x:c r="BJ4" s="221"/>
      <x:c r="BK4" s="221"/>
      <x:c r="BL4" s="221"/>
      <x:c r="BM4" s="221"/>
      <x:c r="BN4" s="221"/>
      <x:c r="BO4" s="221"/>
      <x:c r="BP4" s="221"/>
      <x:c r="BQ4" s="221"/>
      <x:c r="BR4" s="221"/>
      <x:c r="BS4" s="221"/>
      <x:c r="BT4" s="221"/>
      <x:c r="BU4" s="221"/>
      <x:c r="BV4" s="221"/>
      <x:c r="BW4" s="221"/>
      <x:c r="BX4" s="221"/>
      <x:c r="BY4" s="221"/>
      <x:c r="BZ4" s="221"/>
      <x:c r="CA4" s="221"/>
      <x:c r="CB4" s="221"/>
      <x:c r="CC4" s="221"/>
      <x:c r="CD4" s="221"/>
      <x:c r="CE4" s="221"/>
      <x:c r="CF4" s="221"/>
      <x:c r="CG4" s="221"/>
      <x:c r="CH4" s="221"/>
      <x:c r="CI4" s="221"/>
      <x:c r="CJ4" s="221"/>
      <x:c r="CK4" s="221"/>
      <x:c r="CL4" s="221"/>
      <x:c r="CM4" s="221"/>
      <x:c r="CN4" s="221"/>
      <x:c r="CO4" s="221"/>
      <x:c r="CP4" s="221"/>
      <x:c r="CQ4" s="221"/>
      <x:c r="CR4" s="221"/>
      <x:c r="CS4" s="221"/>
      <x:c r="CT4" s="221"/>
      <x:c r="CU4" s="221"/>
      <x:c r="CV4" s="221"/>
      <x:c r="CW4" s="221"/>
      <x:c r="CX4" s="221"/>
      <x:c r="CY4" s="221"/>
      <x:c r="CZ4" s="221"/>
      <x:c r="DA4" s="221"/>
      <x:c r="DB4" s="221"/>
      <x:c r="DC4" s="221"/>
      <x:c r="DD4" s="221"/>
      <x:c r="DE4" s="221"/>
      <x:c r="DF4" s="221"/>
      <x:c r="DG4" s="221"/>
      <x:c r="DH4" s="221"/>
      <x:c r="DI4" s="221"/>
      <x:c r="DJ4" s="221"/>
      <x:c r="DK4" s="221"/>
      <x:c r="DL4" s="221"/>
      <x:c r="DM4" s="221"/>
      <x:c r="DN4" s="221"/>
      <x:c r="DO4" s="221"/>
      <x:c r="DP4" s="221"/>
      <x:c r="DQ4" s="221"/>
      <x:c r="DR4" s="221"/>
      <x:c r="DS4" s="221"/>
      <x:c r="DT4" s="221"/>
      <x:c r="DU4" s="221"/>
      <x:c r="DV4" s="221"/>
      <x:c r="DW4" s="221"/>
      <x:c r="DX4" s="221"/>
      <x:c r="DY4" s="221"/>
      <x:c r="DZ4" s="221"/>
      <x:c r="EA4" s="221"/>
      <x:c r="EB4" s="221"/>
      <x:c r="EC4" s="221"/>
      <x:c r="ED4" s="221"/>
      <x:c r="EE4" s="221"/>
      <x:c r="EF4" s="221"/>
      <x:c r="EG4" s="221"/>
      <x:c r="EH4" s="221"/>
      <x:c r="EI4" s="221"/>
      <x:c r="EJ4" s="221"/>
      <x:c r="EK4" s="221"/>
      <x:c r="EL4" s="221"/>
      <x:c r="EM4" s="221"/>
      <x:c r="EN4" s="221"/>
      <x:c r="EO4" s="221"/>
      <x:c r="EP4" s="221"/>
      <x:c r="EQ4" s="221"/>
      <x:c r="ER4" s="221"/>
      <x:c r="ES4" s="221"/>
      <x:c r="ET4" s="221"/>
      <x:c r="EU4" s="221"/>
      <x:c r="EV4" s="221"/>
      <x:c r="EW4" s="221"/>
      <x:c r="EX4" s="221"/>
      <x:c r="EY4" s="221"/>
      <x:c r="EZ4" s="221"/>
      <x:c r="FA4" s="221"/>
      <x:c r="FB4" s="221"/>
      <x:c r="FC4" s="221"/>
      <x:c r="FD4" s="221"/>
      <x:c r="FE4" s="221"/>
      <x:c r="FF4" s="221"/>
      <x:c r="FG4" s="221"/>
      <x:c r="FH4" s="221"/>
      <x:c r="FI4" s="221"/>
      <x:c r="FJ4" s="221"/>
      <x:c r="FK4" s="221"/>
      <x:c r="FL4" s="221"/>
      <x:c r="FM4" s="221"/>
      <x:c r="FN4" s="221"/>
      <x:c r="FO4" s="221"/>
      <x:c r="FP4" s="221"/>
      <x:c r="FQ4" s="221"/>
      <x:c r="FR4" s="221"/>
      <x:c r="FS4" s="221"/>
      <x:c r="FT4" s="221"/>
      <x:c r="FU4" s="221"/>
      <x:c r="FV4" s="221"/>
      <x:c r="FW4" s="221"/>
      <x:c r="FX4" s="221"/>
      <x:c r="FY4" s="221"/>
      <x:c r="FZ4" s="221"/>
      <x:c r="GA4" s="221"/>
      <x:c r="GB4" s="221"/>
      <x:c r="GC4" s="221"/>
      <x:c r="GD4" s="221"/>
      <x:c r="GE4" s="221"/>
      <x:c r="GF4" s="221"/>
      <x:c r="GG4" s="221"/>
      <x:c r="GH4" s="221"/>
      <x:c r="GI4" s="221"/>
      <x:c r="GJ4" s="221"/>
    </x:row>
    <x:row r="5" spans="1:55" customHeight="1">
      <x:c r="A5" s="204"/>
      <x:c r="B5" s="204" t="s">
        <x:v>1539</x:v>
      </x:c>
      <x:c r="C5" s="204">
        <x:v>1</x:v>
      </x:c>
      <x:c r="D5" s="217" t="s">
        <x:v>1468</x:v>
      </x:c>
      <x:c r="E5" s="205" t="s">
        <x:v>883</x:v>
      </x:c>
      <x:c r="F5" s="205"/>
      <x:c r="G5" s="205"/>
      <x:c r="H5" s="205"/>
      <x:c r="I5" s="205"/>
      <x:c r="J5" s="205"/>
      <x:c r="K5" s="205"/>
      <x:c r="L5" s="205"/>
      <x:c r="M5" s="205"/>
      <x:c r="N5" s="205"/>
      <x:c r="O5" s="205"/>
      <x:c r="P5" s="206">
        <x:v>44441</x:v>
      </x:c>
      <x:c r="Q5" s="206">
        <x:v>44546</x:v>
      </x:c>
      <x:c r="R5" s="207"/>
      <x:c r="S5" s="208">
        <x:v>32</x:v>
      </x:c>
      <x:c r="T5" s="208">
        <x:v>9</x:v>
      </x:c>
      <x:c r="U5" s="208">
        <x:v>22</x:v>
      </x:c>
      <x:c r="V5" s="208">
        <x:v>9</x:v>
      </x:c>
      <x:c r="W5" s="206"/>
      <x:c r="X5" s="206"/>
      <x:c r="Y5" s="209">
        <x:v>0</x:v>
      </x:c>
      <x:c r="Z5" s="210">
        <x:v>0</x:v>
      </x:c>
      <x:c r="AA5" s="208"/>
      <x:c r="AB5" s="147" t="s">
        <x:v>22</x:v>
      </x:c>
      <x:c r="AC5" s="211"/>
      <x:c r="AD5" s="212">
        <x:v>0</x:v>
      </x:c>
      <x:c r="AE5" s="222">
        <x:v>0</x:v>
      </x:c>
      <x:c r="AF5" s="191"/>
      <x:c r="AG5" s="192"/>
      <x:c r="AH5" s="192"/>
      <x:c r="AI5" s="192"/>
      <x:c r="AJ5" s="192"/>
      <x:c r="AK5" s="192"/>
      <x:c r="AL5" s="192" t="str">
        <x:f>""&amp;TEXT(AE5,"#0.00%")&amp;" "</x:f>
        <x:v xml:space="preserve">0.00% </x:v>
      </x:c>
      <x:c r="AM5" s="192"/>
      <x:c r="AN5" s="192"/>
      <x:c r="AO5" s="192"/>
      <x:c r="AP5" s="192"/>
      <x:c r="AQ5" s="192"/>
      <x:c r="AR5" s="192"/>
      <x:c r="AS5" s="192"/>
      <x:c r="AT5" s="192"/>
      <x:c r="AU5" s="192"/>
      <x:c r="AV5" s="192"/>
      <x:c r="AW5" s="192"/>
      <x:c r="AX5" s="192"/>
      <x:c r="AY5" s="192"/>
      <x:c r="AZ5" s="192"/>
      <x:c r="BA5" s="192"/>
      <x:c r="BB5" s="192" t="str">
        <x:f>"  "&amp;"프로젝트 관리"&amp;" "&amp;IF(P5="","",TEXT(P5,"M/D-"))&amp;IF(Q5="","",TEXT(Q5,"M/D"))&amp;" "</x:f>
        <x:v xml:space="preserve">  프로젝트 관리 9/2-12/16 </x:v>
      </x:c>
      <x:c r="BC5" s="192"/>
    </x:row>
    <x:row r="6" spans="1:55" customHeight="1" outlineLevel="1">
      <x:c r="A6" s="204"/>
      <x:c r="B6" s="204" t="s">
        <x:v>1539</x:v>
      </x:c>
      <x:c r="C6" s="204">
        <x:v>2</x:v>
      </x:c>
      <x:c r="D6" s="217" t="s">
        <x:v>1477</x:v>
      </x:c>
      <x:c r="E6" s="205"/>
      <x:c r="F6" s="205" t="s">
        <x:v>1361</x:v>
      </x:c>
      <x:c r="G6" s="205"/>
      <x:c r="H6" s="205"/>
      <x:c r="I6" s="205"/>
      <x:c r="J6" s="205"/>
      <x:c r="K6" s="205"/>
      <x:c r="L6" s="205"/>
      <x:c r="M6" s="205"/>
      <x:c r="N6" s="205"/>
      <x:c r="O6" s="205"/>
      <x:c r="P6" s="206">
        <x:v>44441</x:v>
      </x:c>
      <x:c r="Q6" s="146">
        <x:v>44546</x:v>
      </x:c>
      <x:c r="R6" s="207"/>
      <x:c r="S6" s="208">
        <x:v>9</x:v>
      </x:c>
      <x:c r="T6" s="208">
        <x:v>9</x:v>
      </x:c>
      <x:c r="U6" s="208">
        <x:v>8</x:v>
      </x:c>
      <x:c r="V6" s="208">
        <x:v>9</x:v>
      </x:c>
      <x:c r="W6" s="206"/>
      <x:c r="X6" s="206"/>
      <x:c r="Y6" s="209">
        <x:v>0</x:v>
      </x:c>
      <x:c r="Z6" s="210">
        <x:v>0</x:v>
      </x:c>
      <x:c r="AA6" s="208"/>
      <x:c r="AB6" s="147" t="s">
        <x:v>22</x:v>
      </x:c>
      <x:c r="AC6" s="211"/>
      <x:c r="AD6" s="212">
        <x:v>0</x:v>
      </x:c>
      <x:c r="AE6" s="216">
        <x:v>0</x:v>
      </x:c>
      <x:c r="AF6" s="191"/>
      <x:c r="AG6" s="192"/>
      <x:c r="AH6" s="192"/>
      <x:c r="AI6" s="192" t="str">
        <x:f>"     "&amp;TEXT(AE6,"#0.00%")&amp;" "&amp;"프로젝트 착수 및 계획수립"&amp;" "&amp;IF(P6="","",TEXT(P6,"M/D-"))&amp;IF(Q6="","",TEXT(Q6,"M/D"))&amp;" "</x:f>
        <x:v xml:space="preserve">     0.00% 프로젝트 착수 및 계획수립 9/2-12/16 </x:v>
      </x:c>
      <x:c r="AJ6" s="192"/>
      <x:c r="AK6" s="192"/>
      <x:c r="AL6" s="192"/>
      <x:c r="AM6" s="192"/>
      <x:c r="AN6" s="192"/>
      <x:c r="AO6" s="192"/>
      <x:c r="AP6" s="192"/>
      <x:c r="AQ6" s="192"/>
      <x:c r="AR6" s="192"/>
      <x:c r="AS6" s="192"/>
      <x:c r="AT6" s="192"/>
      <x:c r="AU6" s="192"/>
      <x:c r="AV6" s="192"/>
      <x:c r="AW6" s="192"/>
      <x:c r="AX6" s="192"/>
      <x:c r="AY6" s="192"/>
      <x:c r="AZ6" s="192"/>
      <x:c r="BA6" s="192"/>
      <x:c r="BB6" s="192"/>
      <x:c r="BC6" s="192"/>
    </x:row>
    <x:row r="7" spans="1:55" customHeight="1" outlineLevel="2">
      <x:c r="A7" s="204"/>
      <x:c r="B7" s="204"/>
      <x:c r="C7" s="204">
        <x:v>3</x:v>
      </x:c>
      <x:c r="D7" s="217" t="s">
        <x:v>810</x:v>
      </x:c>
      <x:c r="E7" s="205"/>
      <x:c r="F7" s="205"/>
      <x:c r="G7" s="205" t="s">
        <x:v>889</x:v>
      </x:c>
      <x:c r="H7" s="205"/>
      <x:c r="I7" s="205"/>
      <x:c r="J7" s="205"/>
      <x:c r="K7" s="205"/>
      <x:c r="L7" s="205"/>
      <x:c r="M7" s="205"/>
      <x:c r="N7" s="205"/>
      <x:c r="O7" s="205"/>
      <x:c r="P7" s="206">
        <x:v>44441</x:v>
      </x:c>
      <x:c r="Q7" s="206">
        <x:v>44337</x:v>
      </x:c>
      <x:c r="R7" s="207"/>
      <x:c r="S7" s="208">
        <x:v>4</x:v>
      </x:c>
      <x:c r="T7" s="208">
        <x:v>4</x:v>
      </x:c>
      <x:c r="U7" s="208">
        <x:v>2</x:v>
      </x:c>
      <x:c r="V7" s="208">
        <x:v>2</x:v>
      </x:c>
      <x:c r="W7" s="206">
        <x:v>44186</x:v>
      </x:c>
      <x:c r="X7" s="206">
        <x:v>44187</x:v>
      </x:c>
      <x:c r="Y7" s="209">
        <x:v>2</x:v>
      </x:c>
      <x:c r="Z7" s="210">
        <x:v>2</x:v>
      </x:c>
      <x:c r="AA7" s="208">
        <x:v>1</x:v>
      </x:c>
      <x:c r="AB7" s="147" t="s">
        <x:v>22</x:v>
      </x:c>
      <x:c r="AC7" s="211"/>
      <x:c r="AD7" s="212">
        <x:v>0</x:v>
      </x:c>
      <x:c r="AE7" s="214">
        <x:v>0</x:v>
      </x:c>
      <x:c r="AF7" s="191" t="str">
        <x:f>"      "&amp;TEXT(AE7,"#0.00%")&amp;" "&amp;"프로젝트 착수"&amp;"(이지은,김분석)"&amp;" "&amp;IF(P7="","",TEXT(P7,"M/D-"))&amp;IF(Q7="","",TEXT(Q7,"M/D"))&amp;" "</x:f>
        <x:v xml:space="preserve">      0.00% 프로젝트 착수(이지은,김분석) 9/2-5/21 </x:v>
      </x:c>
      <x:c r="AG7" s="192"/>
      <x:c r="AH7" s="192"/>
      <x:c r="AI7" s="192"/>
      <x:c r="AJ7" s="192"/>
      <x:c r="AK7" s="192"/>
      <x:c r="AL7" s="192"/>
      <x:c r="AM7" s="192"/>
      <x:c r="AN7" s="192"/>
      <x:c r="AO7" s="192"/>
      <x:c r="AP7" s="192"/>
      <x:c r="AQ7" s="192"/>
      <x:c r="AR7" s="192"/>
      <x:c r="AS7" s="192"/>
      <x:c r="AT7" s="192"/>
      <x:c r="AU7" s="192"/>
      <x:c r="AV7" s="192"/>
      <x:c r="AW7" s="192"/>
      <x:c r="AX7" s="192"/>
      <x:c r="AY7" s="192"/>
      <x:c r="AZ7" s="192"/>
      <x:c r="BA7" s="192"/>
      <x:c r="BB7" s="192"/>
      <x:c r="BC7" s="192"/>
    </x:row>
    <x:row r="8" spans="1:55" customHeight="1" outlineLevel="2">
      <x:c r="A8" s="204"/>
      <x:c r="B8" s="204" t="s">
        <x:v>1539</x:v>
      </x:c>
      <x:c r="C8" s="204">
        <x:v>3</x:v>
      </x:c>
      <x:c r="D8" s="217" t="s">
        <x:v>807</x:v>
      </x:c>
      <x:c r="E8" s="205"/>
      <x:c r="F8" s="205"/>
      <x:c r="G8" s="205" t="s">
        <x:v>462</x:v>
      </x:c>
      <x:c r="H8" s="205"/>
      <x:c r="I8" s="205"/>
      <x:c r="J8" s="205"/>
      <x:c r="K8" s="205"/>
      <x:c r="L8" s="205"/>
      <x:c r="M8" s="205"/>
      <x:c r="N8" s="205"/>
      <x:c r="O8" s="205"/>
      <x:c r="P8" s="206">
        <x:v>44448</x:v>
      </x:c>
      <x:c r="Q8" s="206">
        <x:v>44469</x:v>
      </x:c>
      <x:c r="R8" s="207"/>
      <x:c r="S8" s="208">
        <x:v>5</x:v>
      </x:c>
      <x:c r="T8" s="208">
        <x:v>5</x:v>
      </x:c>
      <x:c r="U8" s="208">
        <x:v>6</x:v>
      </x:c>
      <x:c r="V8" s="208">
        <x:v>7</x:v>
      </x:c>
      <x:c r="W8" s="206"/>
      <x:c r="X8" s="206"/>
      <x:c r="Y8" s="209">
        <x:v>0</x:v>
      </x:c>
      <x:c r="Z8" s="210">
        <x:v>0</x:v>
      </x:c>
      <x:c r="AA8" s="208"/>
      <x:c r="AB8" s="147" t="s">
        <x:v>22</x:v>
      </x:c>
      <x:c r="AC8" s="211"/>
      <x:c r="AD8" s="212">
        <x:v>0</x:v>
      </x:c>
      <x:c r="AE8" s="216">
        <x:v>0</x:v>
      </x:c>
      <x:c r="AF8" s="191"/>
      <x:c r="AG8" s="192"/>
      <x:c r="AH8" s="192"/>
      <x:c r="AI8" s="192" t="str">
        <x:f>"    "&amp;TEXT(AE8,"#0.00%")&amp;" "&amp;"프로젝트 범위정의"&amp;" "&amp;IF(P8="","",TEXT(P8,"M/D-"))&amp;IF(Q8="","",TEXT(Q8,"M/D"))&amp;" "</x:f>
        <x:v xml:space="preserve">    0.00% 프로젝트 범위정의 9/9-9/30 </x:v>
      </x:c>
      <x:c r="AJ8" s="192"/>
      <x:c r="AK8" s="192"/>
      <x:c r="AL8" s="192"/>
      <x:c r="AM8" s="192"/>
      <x:c r="AN8" s="192"/>
      <x:c r="AO8" s="192"/>
      <x:c r="AP8" s="192"/>
      <x:c r="AQ8" s="192"/>
      <x:c r="AR8" s="192"/>
      <x:c r="AS8" s="192"/>
      <x:c r="AT8" s="192"/>
      <x:c r="AU8" s="192"/>
      <x:c r="AV8" s="192"/>
      <x:c r="AW8" s="192"/>
      <x:c r="AX8" s="192"/>
      <x:c r="AY8" s="192"/>
      <x:c r="AZ8" s="192"/>
      <x:c r="BA8" s="192"/>
      <x:c r="BB8" s="192"/>
      <x:c r="BC8" s="192"/>
    </x:row>
    <x:row r="9" spans="1:55" customHeight="1" outlineLevel="3">
      <x:c r="A9" s="204"/>
      <x:c r="B9" s="204"/>
      <x:c r="C9" s="204">
        <x:v>4</x:v>
      </x:c>
      <x:c r="D9" s="217" t="s">
        <x:v>890</x:v>
      </x:c>
      <x:c r="E9" s="205"/>
      <x:c r="F9" s="205"/>
      <x:c r="G9" s="205"/>
      <x:c r="H9" s="205" t="s">
        <x:v>394</x:v>
      </x:c>
      <x:c r="I9" s="205"/>
      <x:c r="J9" s="205"/>
      <x:c r="K9" s="205"/>
      <x:c r="L9" s="205"/>
      <x:c r="M9" s="205"/>
      <x:c r="N9" s="205"/>
      <x:c r="O9" s="205"/>
      <x:c r="P9" s="206">
        <x:v>44448</x:v>
      </x:c>
      <x:c r="Q9" s="146">
        <x:v>44448</x:v>
      </x:c>
      <x:c r="R9" s="207"/>
      <x:c r="S9" s="208">
        <x:v>5</x:v>
      </x:c>
      <x:c r="T9" s="208">
        <x:v>5</x:v>
      </x:c>
      <x:c r="U9" s="208">
        <x:v>5</x:v>
      </x:c>
      <x:c r="V9" s="208">
        <x:v>5</x:v>
      </x:c>
      <x:c r="W9" s="206">
        <x:v>44190</x:v>
      </x:c>
      <x:c r="X9" s="206"/>
      <x:c r="Y9" s="209">
        <x:v>-31553</x:v>
      </x:c>
      <x:c r="Z9" s="210">
        <x:v>0</x:v>
      </x:c>
      <x:c r="AA9" s="208">
        <x:v>1</x:v>
      </x:c>
      <x:c r="AB9" s="147" t="s">
        <x:v>22</x:v>
      </x:c>
      <x:c r="AC9" s="211"/>
      <x:c r="AD9" s="212">
        <x:v>0</x:v>
      </x:c>
      <x:c r="AE9" s="215">
        <x:v>0</x:v>
      </x:c>
      <x:c r="AF9" s="191"/>
      <x:c r="AG9" s="192"/>
      <x:c r="AH9" s="192" t="str">
        <x:f>""&amp;TEXT(AE9,"#0.00%")&amp;" "&amp;"프로젝트 계획 수립"&amp;"(이지은)"&amp;" "&amp;IF(P9="","",TEXT(P9,"M/D-"))&amp;IF(Q9="","",TEXT(Q9,"M/D"))&amp;" "</x:f>
        <x:v xml:space="preserve">0.00% 프로젝트 계획 수립(이지은) 9/9-9/9 </x:v>
      </x:c>
      <x:c r="AI9" s="192"/>
      <x:c r="AJ9" s="192"/>
      <x:c r="AK9" s="192"/>
      <x:c r="AL9" s="192"/>
      <x:c r="AM9" s="192"/>
      <x:c r="AN9" s="192"/>
      <x:c r="AO9" s="192"/>
      <x:c r="AP9" s="192"/>
      <x:c r="AQ9" s="192"/>
      <x:c r="AR9" s="192"/>
      <x:c r="AS9" s="192"/>
      <x:c r="AT9" s="192"/>
      <x:c r="AU9" s="192"/>
      <x:c r="AV9" s="192"/>
      <x:c r="AW9" s="192"/>
      <x:c r="AX9" s="192"/>
      <x:c r="AY9" s="192"/>
      <x:c r="AZ9" s="192"/>
      <x:c r="BA9" s="192"/>
      <x:c r="BB9" s="192"/>
      <x:c r="BC9" s="192"/>
    </x:row>
    <x:row r="10" spans="1:55" customHeight="1" outlineLevel="3">
      <x:c r="A10" s="204">
        <x:v>1</x:v>
      </x:c>
      <x:c r="B10" s="204"/>
      <x:c r="C10" s="204">
        <x:v>4</x:v>
      </x:c>
      <x:c r="D10" s="217" t="s">
        <x:v>874</x:v>
      </x:c>
      <x:c r="E10" s="205"/>
      <x:c r="F10" s="205"/>
      <x:c r="G10" s="205"/>
      <x:c r="H10" s="205" t="s">
        <x:v>1363</x:v>
      </x:c>
      <x:c r="I10" s="205"/>
      <x:c r="J10" s="205"/>
      <x:c r="K10" s="205"/>
      <x:c r="L10" s="205"/>
      <x:c r="M10" s="205"/>
      <x:c r="N10" s="205"/>
      <x:c r="O10" s="205"/>
      <x:c r="P10" s="206">
        <x:v>44448</x:v>
      </x:c>
      <x:c r="Q10" s="146">
        <x:v>44448</x:v>
      </x:c>
      <x:c r="R10" s="207"/>
      <x:c r="S10" s="208">
        <x:v>0</x:v>
      </x:c>
      <x:c r="T10" s="208">
        <x:v>0</x:v>
      </x:c>
      <x:c r="U10" s="208">
        <x:v>1</x:v>
      </x:c>
      <x:c r="V10" s="208">
        <x:v>0</x:v>
      </x:c>
      <x:c r="W10" s="206"/>
      <x:c r="X10" s="206"/>
      <x:c r="Y10" s="209"/>
      <x:c r="Z10" s="210">
        <x:v>0</x:v>
      </x:c>
      <x:c r="AA10" s="208">
        <x:v>1</x:v>
      </x:c>
      <x:c r="AB10" s="147" t="s">
        <x:v>22</x:v>
      </x:c>
      <x:c r="AC10" s="211"/>
      <x:c r="AD10" s="212">
        <x:v>0</x:v>
      </x:c>
      <x:c r="AE10" s="214">
        <x:v>0</x:v>
      </x:c>
      <x:c r="AF10" s="191"/>
      <x:c r="AG10" s="192"/>
      <x:c r="AH10" s="192"/>
      <x:c r="AI10" s="192" t="str">
        <x:f>"         "&amp;TEXT(AE10,"#0.00%")&amp;" "&amp;"착수보고(Kick off)"&amp;"(이지은)"&amp;" "&amp;IF(P10="","",TEXT(P10,"M/D-"))&amp;IF(Q10="","",TEXT(Q10,"M/D"))&amp;" "</x:f>
        <x:v xml:space="preserve">         0.00% 착수보고(Kick off)(이지은) 9/9-9/9 </x:v>
      </x:c>
      <x:c r="AJ10" s="192"/>
      <x:c r="AK10" s="192"/>
      <x:c r="AL10" s="192"/>
      <x:c r="AM10" s="192"/>
      <x:c r="AN10" s="192"/>
      <x:c r="AO10" s="192"/>
      <x:c r="AP10" s="192"/>
      <x:c r="AQ10" s="192"/>
      <x:c r="AR10" s="192"/>
      <x:c r="AS10" s="192"/>
      <x:c r="AT10" s="192"/>
      <x:c r="AU10" s="192"/>
      <x:c r="AV10" s="192"/>
      <x:c r="AW10" s="192"/>
      <x:c r="AX10" s="192"/>
      <x:c r="AY10" s="192"/>
      <x:c r="AZ10" s="192"/>
      <x:c r="BA10" s="192"/>
      <x:c r="BB10" s="192"/>
      <x:c r="BC10" s="192"/>
    </x:row>
    <x:row r="11" spans="1:55" customHeight="1" outlineLevel="1">
      <x:c r="A11" s="204"/>
      <x:c r="B11" s="204" t="s">
        <x:v>1539</x:v>
      </x:c>
      <x:c r="C11" s="204">
        <x:v>2</x:v>
      </x:c>
      <x:c r="D11" s="217" t="s">
        <x:v>1476</x:v>
      </x:c>
      <x:c r="E11" s="205"/>
      <x:c r="F11" s="205" t="s">
        <x:v>1370</x:v>
      </x:c>
      <x:c r="G11" s="205"/>
      <x:c r="H11" s="205"/>
      <x:c r="I11" s="205"/>
      <x:c r="J11" s="205"/>
      <x:c r="K11" s="205"/>
      <x:c r="L11" s="205"/>
      <x:c r="M11" s="205"/>
      <x:c r="N11" s="205"/>
      <x:c r="O11" s="205"/>
      <x:c r="P11" s="206">
        <x:v>44358</x:v>
      </x:c>
      <x:c r="Q11" s="206">
        <x:v>44454</x:v>
      </x:c>
      <x:c r="R11" s="207"/>
      <x:c r="S11" s="208">
        <x:v>9</x:v>
      </x:c>
      <x:c r="T11" s="208">
        <x:v>0</x:v>
      </x:c>
      <x:c r="U11" s="208">
        <x:v>9</x:v>
      </x:c>
      <x:c r="V11" s="208">
        <x:v>0</x:v>
      </x:c>
      <x:c r="W11" s="206"/>
      <x:c r="X11" s="206"/>
      <x:c r="Y11" s="209">
        <x:v>0</x:v>
      </x:c>
      <x:c r="Z11" s="210">
        <x:v>0</x:v>
      </x:c>
      <x:c r="AA11" s="208"/>
      <x:c r="AB11" s="147" t="s">
        <x:v>22</x:v>
      </x:c>
      <x:c r="AC11" s="211"/>
      <x:c r="AD11" s="212">
        <x:v>0</x:v>
      </x:c>
      <x:c r="AE11" s="224">
        <x:v>0</x:v>
      </x:c>
      <x:c r="AF11" s="191"/>
      <x:c r="AG11" s="192"/>
      <x:c r="AH11" s="192"/>
      <x:c r="AI11" s="192"/>
      <x:c r="AJ11" s="192" t="str">
        <x:f>"      "&amp;TEXT(AE11,"#0.00%")&amp;" "</x:f>
        <x:v xml:space="preserve">      0.00% </x:v>
      </x:c>
      <x:c r="AK11" s="192"/>
      <x:c r="AL11" s="192"/>
      <x:c r="AM11" s="192"/>
      <x:c r="AN11" s="192"/>
      <x:c r="AO11" s="192"/>
      <x:c r="AP11" s="192"/>
      <x:c r="AQ11" s="192"/>
      <x:c r="AR11" s="192"/>
      <x:c r="AS11" s="192"/>
      <x:c r="AT11" s="192"/>
      <x:c r="AU11" s="192"/>
      <x:c r="AV11" s="192"/>
      <x:c r="AW11" s="192" t="str">
        <x:f>"    "&amp;"프로젝트 수행 및 통제"&amp;" "&amp;IF(P11="","",TEXT(P11,"M/D-"))&amp;IF(Q11="","",TEXT(Q11,"M/D"))&amp;" "</x:f>
        <x:v xml:space="preserve">    프로젝트 수행 및 통제 6/11-9/15 </x:v>
      </x:c>
      <x:c r="AX11" s="192"/>
      <x:c r="AY11" s="192"/>
      <x:c r="AZ11" s="192"/>
      <x:c r="BA11" s="192"/>
      <x:c r="BB11" s="192"/>
      <x:c r="BC11" s="192"/>
    </x:row>
    <x:row r="12" spans="1:55" customHeight="1" outlineLevel="2">
      <x:c r="A12" s="204"/>
      <x:c r="B12" s="204"/>
      <x:c r="C12" s="204">
        <x:v>3</x:v>
      </x:c>
      <x:c r="D12" s="217" t="s">
        <x:v>816</x:v>
      </x:c>
      <x:c r="E12" s="205"/>
      <x:c r="F12" s="205"/>
      <x:c r="G12" s="205" t="s">
        <x:v>882</x:v>
      </x:c>
      <x:c r="H12" s="205"/>
      <x:c r="I12" s="205"/>
      <x:c r="J12" s="205"/>
      <x:c r="K12" s="205"/>
      <x:c r="L12" s="205"/>
      <x:c r="M12" s="205"/>
      <x:c r="N12" s="205"/>
      <x:c r="O12" s="205"/>
      <x:c r="P12" s="206">
        <x:v>44476</x:v>
      </x:c>
      <x:c r="Q12" s="206">
        <x:v>44365</x:v>
      </x:c>
      <x:c r="R12" s="207"/>
      <x:c r="S12" s="148">
        <x:v>1</x:v>
      </x:c>
      <x:c r="T12" s="208">
        <x:v>0</x:v>
      </x:c>
      <x:c r="U12" s="148">
        <x:v>1</x:v>
      </x:c>
      <x:c r="V12" s="208">
        <x:v>0</x:v>
      </x:c>
      <x:c r="W12" s="206">
        <x:v>44211</x:v>
      </x:c>
      <x:c r="X12" s="206"/>
      <x:c r="Y12" s="209">
        <x:v>-31567</x:v>
      </x:c>
      <x:c r="Z12" s="210">
        <x:v>0</x:v>
      </x:c>
      <x:c r="AA12" s="208">
        <x:v>1</x:v>
      </x:c>
      <x:c r="AB12" s="147" t="s">
        <x:v>22</x:v>
      </x:c>
      <x:c r="AC12" s="211"/>
      <x:c r="AD12" s="212">
        <x:v>0</x:v>
      </x:c>
      <x:c r="AE12" s="223">
        <x:v>0</x:v>
      </x:c>
      <x:c r="AF12" s="191"/>
      <x:c r="AG12" s="192"/>
      <x:c r="AH12" s="192"/>
      <x:c r="AI12" s="192"/>
      <x:c r="AJ12" s="192" t="str">
        <x:f>"    "&amp;TEXT(AE12,"#0.00%")&amp;" "&amp;"월간보고1"&amp;"(박피엠[20%])"&amp;" "&amp;IF(P12="","",TEXT(P12,"M/D-"))&amp;IF(Q12="","",TEXT(Q12,"M/D"))&amp;" "</x:f>
        <x:v xml:space="preserve">    0.00% 월간보고1(박피엠[20%]) 10/7-6/18 </x:v>
      </x:c>
      <x:c r="AK12" s="192"/>
      <x:c r="AL12" s="192"/>
      <x:c r="AM12" s="192"/>
      <x:c r="AN12" s="192"/>
      <x:c r="AO12" s="192"/>
      <x:c r="AP12" s="192"/>
      <x:c r="AQ12" s="192"/>
      <x:c r="AR12" s="192"/>
      <x:c r="AS12" s="192"/>
      <x:c r="AT12" s="192"/>
      <x:c r="AU12" s="192"/>
      <x:c r="AV12" s="192"/>
      <x:c r="AW12" s="192"/>
      <x:c r="AX12" s="192"/>
      <x:c r="AY12" s="192"/>
      <x:c r="AZ12" s="192"/>
      <x:c r="BA12" s="192"/>
      <x:c r="BB12" s="192"/>
      <x:c r="BC12" s="192"/>
    </x:row>
    <x:row r="13" spans="1:55" customHeight="1" outlineLevel="2">
      <x:c r="A13" s="204"/>
      <x:c r="B13" s="204"/>
      <x:c r="C13" s="204">
        <x:v>3</x:v>
      </x:c>
      <x:c r="D13" s="217" t="s">
        <x:v>825</x:v>
      </x:c>
      <x:c r="E13" s="205"/>
      <x:c r="F13" s="205"/>
      <x:c r="G13" s="205" t="s">
        <x:v>862</x:v>
      </x:c>
      <x:c r="H13" s="205"/>
      <x:c r="I13" s="205"/>
      <x:c r="J13" s="205"/>
      <x:c r="K13" s="205"/>
      <x:c r="L13" s="205"/>
      <x:c r="M13" s="205"/>
      <x:c r="N13" s="205"/>
      <x:c r="O13" s="205"/>
      <x:c r="P13" s="206">
        <x:v>44483</x:v>
      </x:c>
      <x:c r="Q13" s="206">
        <x:v>44393</x:v>
      </x:c>
      <x:c r="R13" s="207"/>
      <x:c r="S13" s="148">
        <x:v>1</x:v>
      </x:c>
      <x:c r="T13" s="208">
        <x:v>0</x:v>
      </x:c>
      <x:c r="U13" s="148">
        <x:v>1</x:v>
      </x:c>
      <x:c r="V13" s="208">
        <x:v>0</x:v>
      </x:c>
      <x:c r="W13" s="206"/>
      <x:c r="X13" s="206"/>
      <x:c r="Y13" s="209"/>
      <x:c r="Z13" s="210">
        <x:v>0</x:v>
      </x:c>
      <x:c r="AA13" s="208">
        <x:v>1</x:v>
      </x:c>
      <x:c r="AB13" s="147" t="s">
        <x:v>22</x:v>
      </x:c>
      <x:c r="AC13" s="211"/>
      <x:c r="AD13" s="212">
        <x:v>0</x:v>
      </x:c>
      <x:c r="AE13" s="214">
        <x:v>0</x:v>
      </x:c>
      <x:c r="AF13" s="191"/>
      <x:c r="AG13" s="192"/>
      <x:c r="AH13" s="192"/>
      <x:c r="AI13" s="192"/>
      <x:c r="AJ13" s="192"/>
      <x:c r="AK13" s="192"/>
      <x:c r="AL13" s="192"/>
      <x:c r="AM13" s="192"/>
      <x:c r="AN13" s="192" t="str">
        <x:f>"     "&amp;TEXT(AE13,"#0.00%")&amp;" "&amp;"월간보고2"&amp;"(박피엠[20%])"&amp;" "&amp;IF(P13="","",TEXT(P13,"M/D-"))&amp;IF(Q13="","",TEXT(Q13,"M/D"))&amp;" "</x:f>
        <x:v xml:space="preserve">     0.00% 월간보고2(박피엠[20%]) 10/14-7/16 </x:v>
      </x:c>
      <x:c r="AO13" s="192"/>
      <x:c r="AP13" s="192"/>
      <x:c r="AQ13" s="192"/>
      <x:c r="AR13" s="192"/>
      <x:c r="AS13" s="192"/>
      <x:c r="AT13" s="192"/>
      <x:c r="AU13" s="192"/>
      <x:c r="AV13" s="192"/>
      <x:c r="AW13" s="192"/>
      <x:c r="AX13" s="192"/>
      <x:c r="AY13" s="192"/>
      <x:c r="AZ13" s="192"/>
      <x:c r="BA13" s="192"/>
      <x:c r="BB13" s="192"/>
      <x:c r="BC13" s="192"/>
    </x:row>
    <x:row r="14" spans="1:55" customHeight="1" outlineLevel="2">
      <x:c r="A14" s="204"/>
      <x:c r="B14" s="204"/>
      <x:c r="C14" s="204">
        <x:v>3</x:v>
      </x:c>
      <x:c r="D14" s="217" t="s">
        <x:v>863</x:v>
      </x:c>
      <x:c r="E14" s="205"/>
      <x:c r="F14" s="205"/>
      <x:c r="G14" s="205" t="s">
        <x:v>876</x:v>
      </x:c>
      <x:c r="H14" s="205"/>
      <x:c r="I14" s="205"/>
      <x:c r="J14" s="205"/>
      <x:c r="K14" s="205"/>
      <x:c r="L14" s="205"/>
      <x:c r="M14" s="205"/>
      <x:c r="N14" s="205"/>
      <x:c r="O14" s="205"/>
      <x:c r="P14" s="206">
        <x:v>44490</x:v>
      </x:c>
      <x:c r="Q14" s="206">
        <x:v>44454</x:v>
      </x:c>
      <x:c r="R14" s="207"/>
      <x:c r="S14" s="148">
        <x:v>1</x:v>
      </x:c>
      <x:c r="T14" s="208">
        <x:v>0</x:v>
      </x:c>
      <x:c r="U14" s="148">
        <x:v>1</x:v>
      </x:c>
      <x:c r="V14" s="208">
        <x:v>0</x:v>
      </x:c>
      <x:c r="W14" s="206"/>
      <x:c r="X14" s="206"/>
      <x:c r="Y14" s="209"/>
      <x:c r="Z14" s="210">
        <x:v>0</x:v>
      </x:c>
      <x:c r="AA14" s="208">
        <x:v>1</x:v>
      </x:c>
      <x:c r="AB14" s="147" t="s">
        <x:v>22</x:v>
      </x:c>
      <x:c r="AC14" s="211"/>
      <x:c r="AD14" s="212">
        <x:v>0</x:v>
      </x:c>
      <x:c r="AE14" s="214">
        <x:v>0</x:v>
      </x:c>
      <x:c r="AF14" s="191"/>
      <x:c r="AG14" s="192"/>
      <x:c r="AH14" s="192"/>
      <x:c r="AI14" s="192"/>
      <x:c r="AJ14" s="192"/>
      <x:c r="AK14" s="192"/>
      <x:c r="AL14" s="192"/>
      <x:c r="AM14" s="192"/>
      <x:c r="AN14" s="192"/>
      <x:c r="AO14" s="192"/>
      <x:c r="AP14" s="192"/>
      <x:c r="AQ14" s="192"/>
      <x:c r="AR14" s="192"/>
      <x:c r="AS14" s="192" t="str">
        <x:f>"      "&amp;TEXT(AE14,"#0.00%")&amp;" "</x:f>
        <x:v xml:space="preserve">      0.00% </x:v>
      </x:c>
      <x:c r="AT14" s="192"/>
      <x:c r="AU14" s="192"/>
      <x:c r="AV14" s="192"/>
      <x:c r="AW14" s="192" t="str">
        <x:f>"    "&amp;"월간보고3"&amp;"(박피엠[20%])"&amp;" "&amp;IF(P14="","",TEXT(P14,"M/D-"))&amp;IF(Q14="","",TEXT(Q14,"M/D"))&amp;" "</x:f>
        <x:v xml:space="preserve">    월간보고3(박피엠[20%]) 10/21-9/15 </x:v>
      </x:c>
      <x:c r="AX14" s="192"/>
      <x:c r="AY14" s="192"/>
      <x:c r="AZ14" s="192"/>
      <x:c r="BA14" s="192"/>
      <x:c r="BB14" s="192"/>
      <x:c r="BC14" s="192"/>
    </x:row>
    <x:row r="15" spans="1:55" customHeight="1" outlineLevel="2">
      <x:c r="A15" s="204">
        <x:v>0</x:v>
      </x:c>
      <x:c r="B15" s="204"/>
      <x:c r="C15" s="204">
        <x:v>3</x:v>
      </x:c>
      <x:c r="D15" s="217" t="s">
        <x:v>879</x:v>
      </x:c>
      <x:c r="E15" s="205"/>
      <x:c r="F15" s="205"/>
      <x:c r="G15" s="205" t="s">
        <x:v>877</x:v>
      </x:c>
      <x:c r="H15" s="205"/>
      <x:c r="I15" s="205"/>
      <x:c r="J15" s="205"/>
      <x:c r="K15" s="205"/>
      <x:c r="L15" s="205"/>
      <x:c r="M15" s="205"/>
      <x:c r="N15" s="205"/>
      <x:c r="O15" s="205"/>
      <x:c r="P15" s="206">
        <x:v>44497</x:v>
      </x:c>
      <x:c r="Q15" s="146">
        <x:v>44497</x:v>
      </x:c>
      <x:c r="R15" s="207"/>
      <x:c r="S15" s="148">
        <x:v>1</x:v>
      </x:c>
      <x:c r="T15" s="208">
        <x:v>0</x:v>
      </x:c>
      <x:c r="U15" s="148">
        <x:v>1</x:v>
      </x:c>
      <x:c r="V15" s="208">
        <x:v>0</x:v>
      </x:c>
      <x:c r="W15" s="206"/>
      <x:c r="X15" s="206"/>
      <x:c r="Y15" s="209"/>
      <x:c r="Z15" s="210">
        <x:v>0</x:v>
      </x:c>
      <x:c r="AA15" s="208">
        <x:v>1</x:v>
      </x:c>
      <x:c r="AB15" s="147" t="s">
        <x:v>22</x:v>
      </x:c>
      <x:c r="AC15" s="211"/>
      <x:c r="AD15" s="212">
        <x:v>0</x:v>
      </x:c>
      <x:c r="AE15" s="214">
        <x:v>0</x:v>
      </x:c>
      <x:c r="AF15" s="191"/>
      <x:c r="AG15" s="192"/>
      <x:c r="AH15" s="192"/>
      <x:c r="AI15" s="192" t="str">
        <x:f>"     "&amp;TEXT(AE15,"#0.00%")&amp;" "&amp;"중간보고"&amp;" "&amp;IF(P15="","",TEXT(P15,"M/D-"))&amp;IF(Q15="","",TEXT(Q15,"M/D"))&amp;" "</x:f>
        <x:v xml:space="preserve">     0.00% 중간보고 10/28-10/28 </x:v>
      </x:c>
      <x:c r="AJ15" s="192"/>
      <x:c r="AK15" s="192"/>
      <x:c r="AL15" s="192"/>
      <x:c r="AM15" s="192"/>
      <x:c r="AN15" s="192"/>
      <x:c r="AO15" s="192"/>
      <x:c r="AP15" s="192"/>
      <x:c r="AQ15" s="192"/>
      <x:c r="AR15" s="192"/>
      <x:c r="AS15" s="192"/>
      <x:c r="AT15" s="192"/>
      <x:c r="AU15" s="192"/>
      <x:c r="AV15" s="192"/>
      <x:c r="AW15" s="192"/>
      <x:c r="AX15" s="192"/>
      <x:c r="AY15" s="192"/>
      <x:c r="AZ15" s="192"/>
      <x:c r="BA15" s="192"/>
      <x:c r="BB15" s="192"/>
      <x:c r="BC15" s="192"/>
    </x:row>
    <x:row r="16" spans="1:55" s="143" customFormat="1" customHeight="1" outlineLevel="2">
      <x:c r="A16" s="144"/>
      <x:c r="B16" s="144"/>
      <x:c r="C16" s="144"/>
      <x:c r="D16" s="145" t="s">
        <x:v>1587</x:v>
      </x:c>
      <x:c r="E16" s="145"/>
      <x:c r="F16" s="145"/>
      <x:c r="G16" s="145" t="s">
        <x:v>11</x:v>
      </x:c>
      <x:c r="H16" s="145"/>
      <x:c r="I16" s="145"/>
      <x:c r="J16" s="145"/>
      <x:c r="K16" s="145"/>
      <x:c r="L16" s="145"/>
      <x:c r="M16" s="145"/>
      <x:c r="N16" s="145"/>
      <x:c r="O16" s="145"/>
      <x:c r="P16" s="146">
        <x:v>44504</x:v>
      </x:c>
      <x:c r="Q16" s="146">
        <x:v>44504</x:v>
      </x:c>
      <x:c r="R16" s="147"/>
      <x:c r="S16" s="148">
        <x:v>1</x:v>
      </x:c>
      <x:c r="T16" s="148">
        <x:v>0</x:v>
      </x:c>
      <x:c r="U16" s="148">
        <x:v>1</x:v>
      </x:c>
      <x:c r="V16" s="148">
        <x:v>0</x:v>
      </x:c>
      <x:c r="W16" s="146"/>
      <x:c r="X16" s="146"/>
      <x:c r="Y16" s="149"/>
      <x:c r="Z16" s="150"/>
      <x:c r="AA16" s="148"/>
      <x:c r="AB16" s="147" t="s">
        <x:v>22</x:v>
      </x:c>
      <x:c r="AC16" s="151"/>
      <x:c r="AD16" s="212">
        <x:v>0</x:v>
      </x:c>
      <x:c r="AE16" s="214">
        <x:v>0</x:v>
      </x:c>
      <x:c r="AF16" s="191"/>
      <x:c r="AG16" s="192"/>
      <x:c r="AH16" s="192"/>
      <x:c r="AI16" s="192"/>
      <x:c r="AJ16" s="192"/>
      <x:c r="AK16" s="192"/>
      <x:c r="AL16" s="192"/>
      <x:c r="AM16" s="192"/>
      <x:c r="AN16" s="192"/>
      <x:c r="AO16" s="192"/>
      <x:c r="AP16" s="192"/>
      <x:c r="AQ16" s="192"/>
      <x:c r="AR16" s="192"/>
      <x:c r="AS16" s="192"/>
      <x:c r="AT16" s="192"/>
      <x:c r="AU16" s="192"/>
      <x:c r="AV16" s="192"/>
      <x:c r="AW16" s="192"/>
      <x:c r="AX16" s="192"/>
      <x:c r="AY16" s="192"/>
      <x:c r="AZ16" s="192"/>
      <x:c r="BA16" s="192"/>
      <x:c r="BB16" s="192"/>
      <x:c r="BC16" s="192"/>
    </x:row>
    <x:row r="17" spans="1:55" s="143" customFormat="1" customHeight="1" outlineLevel="2">
      <x:c r="A17" s="144"/>
      <x:c r="B17" s="144"/>
      <x:c r="C17" s="144"/>
      <x:c r="D17" s="145" t="s">
        <x:v>1572</x:v>
      </x:c>
      <x:c r="E17" s="145"/>
      <x:c r="F17" s="145"/>
      <x:c r="G17" s="145" t="s">
        <x:v>9</x:v>
      </x:c>
      <x:c r="H17" s="145"/>
      <x:c r="I17" s="145"/>
      <x:c r="J17" s="145"/>
      <x:c r="K17" s="145"/>
      <x:c r="L17" s="145"/>
      <x:c r="M17" s="145"/>
      <x:c r="N17" s="145"/>
      <x:c r="O17" s="145"/>
      <x:c r="P17" s="146">
        <x:v>44511</x:v>
      </x:c>
      <x:c r="Q17" s="146">
        <x:v>44511</x:v>
      </x:c>
      <x:c r="R17" s="147"/>
      <x:c r="S17" s="148">
        <x:v>1</x:v>
      </x:c>
      <x:c r="T17" s="148">
        <x:v>0</x:v>
      </x:c>
      <x:c r="U17" s="148">
        <x:v>1</x:v>
      </x:c>
      <x:c r="V17" s="148">
        <x:v>0</x:v>
      </x:c>
      <x:c r="W17" s="146"/>
      <x:c r="X17" s="146"/>
      <x:c r="Y17" s="149"/>
      <x:c r="Z17" s="150"/>
      <x:c r="AA17" s="148"/>
      <x:c r="AB17" s="147" t="s">
        <x:v>22</x:v>
      </x:c>
      <x:c r="AC17" s="151"/>
      <x:c r="AD17" s="212">
        <x:v>0</x:v>
      </x:c>
      <x:c r="AE17" s="214">
        <x:v>0</x:v>
      </x:c>
      <x:c r="AF17" s="191"/>
      <x:c r="AG17" s="192"/>
      <x:c r="AH17" s="192"/>
      <x:c r="AI17" s="192"/>
      <x:c r="AJ17" s="192"/>
      <x:c r="AK17" s="192"/>
      <x:c r="AL17" s="192"/>
      <x:c r="AM17" s="192"/>
      <x:c r="AN17" s="192"/>
      <x:c r="AO17" s="192"/>
      <x:c r="AP17" s="192"/>
      <x:c r="AQ17" s="192"/>
      <x:c r="AR17" s="192"/>
      <x:c r="AS17" s="192"/>
      <x:c r="AT17" s="192"/>
      <x:c r="AU17" s="192"/>
      <x:c r="AV17" s="192"/>
      <x:c r="AW17" s="192"/>
      <x:c r="AX17" s="192"/>
      <x:c r="AY17" s="192"/>
      <x:c r="AZ17" s="192"/>
      <x:c r="BA17" s="192"/>
      <x:c r="BB17" s="192"/>
      <x:c r="BC17" s="192"/>
    </x:row>
    <x:row r="18" spans="1:55" s="143" customFormat="1" customHeight="1" outlineLevel="2">
      <x:c r="A18" s="144"/>
      <x:c r="B18" s="144"/>
      <x:c r="C18" s="144"/>
      <x:c r="D18" s="145" t="s">
        <x:v>1583</x:v>
      </x:c>
      <x:c r="E18" s="145"/>
      <x:c r="F18" s="145"/>
      <x:c r="G18" s="145" t="s">
        <x:v>10</x:v>
      </x:c>
      <x:c r="H18" s="145"/>
      <x:c r="I18" s="145"/>
      <x:c r="J18" s="145"/>
      <x:c r="K18" s="145"/>
      <x:c r="L18" s="145"/>
      <x:c r="M18" s="145"/>
      <x:c r="N18" s="145"/>
      <x:c r="O18" s="145"/>
      <x:c r="P18" s="146">
        <x:v>44518</x:v>
      </x:c>
      <x:c r="Q18" s="146">
        <x:v>44518</x:v>
      </x:c>
      <x:c r="R18" s="147"/>
      <x:c r="S18" s="148">
        <x:v>1</x:v>
      </x:c>
      <x:c r="T18" s="148">
        <x:v>0</x:v>
      </x:c>
      <x:c r="U18" s="148">
        <x:v>1</x:v>
      </x:c>
      <x:c r="V18" s="148">
        <x:v>0</x:v>
      </x:c>
      <x:c r="W18" s="146"/>
      <x:c r="X18" s="146"/>
      <x:c r="Y18" s="149"/>
      <x:c r="Z18" s="150"/>
      <x:c r="AA18" s="148"/>
      <x:c r="AB18" s="147" t="s">
        <x:v>22</x:v>
      </x:c>
      <x:c r="AC18" s="151"/>
      <x:c r="AD18" s="212">
        <x:v>0</x:v>
      </x:c>
      <x:c r="AE18" s="214">
        <x:v>0</x:v>
      </x:c>
      <x:c r="AF18" s="191"/>
      <x:c r="AG18" s="192"/>
      <x:c r="AH18" s="192"/>
      <x:c r="AI18" s="192"/>
      <x:c r="AJ18" s="192"/>
      <x:c r="AK18" s="192"/>
      <x:c r="AL18" s="192"/>
      <x:c r="AM18" s="192"/>
      <x:c r="AN18" s="192"/>
      <x:c r="AO18" s="192"/>
      <x:c r="AP18" s="192"/>
      <x:c r="AQ18" s="192"/>
      <x:c r="AR18" s="192"/>
      <x:c r="AS18" s="192"/>
      <x:c r="AT18" s="192"/>
      <x:c r="AU18" s="192"/>
      <x:c r="AV18" s="192"/>
      <x:c r="AW18" s="192"/>
      <x:c r="AX18" s="192"/>
      <x:c r="AY18" s="192"/>
      <x:c r="AZ18" s="192"/>
      <x:c r="BA18" s="192"/>
      <x:c r="BB18" s="192"/>
      <x:c r="BC18" s="192"/>
    </x:row>
    <x:row r="19" spans="1:55" s="143" customFormat="1" customHeight="1" outlineLevel="2">
      <x:c r="A19" s="144"/>
      <x:c r="B19" s="144"/>
      <x:c r="C19" s="144"/>
      <x:c r="D19" s="145" t="s">
        <x:v>1584</x:v>
      </x:c>
      <x:c r="E19" s="145"/>
      <x:c r="F19" s="145"/>
      <x:c r="G19" s="145" t="s">
        <x:v>1573</x:v>
      </x:c>
      <x:c r="H19" s="145"/>
      <x:c r="I19" s="145"/>
      <x:c r="J19" s="145"/>
      <x:c r="K19" s="145"/>
      <x:c r="L19" s="145"/>
      <x:c r="M19" s="145"/>
      <x:c r="N19" s="145"/>
      <x:c r="O19" s="145"/>
      <x:c r="P19" s="146">
        <x:v>44525</x:v>
      </x:c>
      <x:c r="Q19" s="146">
        <x:v>44525</x:v>
      </x:c>
      <x:c r="R19" s="147"/>
      <x:c r="S19" s="148">
        <x:v>1</x:v>
      </x:c>
      <x:c r="T19" s="148">
        <x:v>0</x:v>
      </x:c>
      <x:c r="U19" s="148">
        <x:v>1</x:v>
      </x:c>
      <x:c r="V19" s="148">
        <x:v>0</x:v>
      </x:c>
      <x:c r="W19" s="146"/>
      <x:c r="X19" s="146"/>
      <x:c r="Y19" s="149"/>
      <x:c r="Z19" s="150"/>
      <x:c r="AA19" s="148"/>
      <x:c r="AB19" s="147" t="s">
        <x:v>22</x:v>
      </x:c>
      <x:c r="AC19" s="151"/>
      <x:c r="AD19" s="212">
        <x:v>0</x:v>
      </x:c>
      <x:c r="AE19" s="214">
        <x:v>0</x:v>
      </x:c>
      <x:c r="AF19" s="191"/>
      <x:c r="AG19" s="192"/>
      <x:c r="AH19" s="192"/>
      <x:c r="AI19" s="192"/>
      <x:c r="AJ19" s="192"/>
      <x:c r="AK19" s="192"/>
      <x:c r="AL19" s="192"/>
      <x:c r="AM19" s="192"/>
      <x:c r="AN19" s="192"/>
      <x:c r="AO19" s="192"/>
      <x:c r="AP19" s="192"/>
      <x:c r="AQ19" s="192"/>
      <x:c r="AR19" s="192"/>
      <x:c r="AS19" s="192"/>
      <x:c r="AT19" s="192"/>
      <x:c r="AU19" s="192"/>
      <x:c r="AV19" s="192"/>
      <x:c r="AW19" s="192"/>
      <x:c r="AX19" s="192"/>
      <x:c r="AY19" s="192"/>
      <x:c r="AZ19" s="192"/>
      <x:c r="BA19" s="192"/>
      <x:c r="BB19" s="192"/>
      <x:c r="BC19" s="192"/>
    </x:row>
    <x:row r="20" spans="1:55" s="143" customFormat="1" customHeight="1" outlineLevel="2">
      <x:c r="A20" s="144"/>
      <x:c r="B20" s="144"/>
      <x:c r="C20" s="144"/>
      <x:c r="D20" s="145" t="s">
        <x:v>1581</x:v>
      </x:c>
      <x:c r="E20" s="145"/>
      <x:c r="F20" s="145"/>
      <x:c r="G20" s="145" t="s">
        <x:v>1574</x:v>
      </x:c>
      <x:c r="H20" s="145"/>
      <x:c r="I20" s="145"/>
      <x:c r="J20" s="145"/>
      <x:c r="K20" s="145"/>
      <x:c r="L20" s="145"/>
      <x:c r="M20" s="145"/>
      <x:c r="N20" s="145"/>
      <x:c r="O20" s="145"/>
      <x:c r="P20" s="146">
        <x:v>44546</x:v>
      </x:c>
      <x:c r="Q20" s="146">
        <x:v>44546</x:v>
      </x:c>
      <x:c r="R20" s="147"/>
      <x:c r="S20" s="148">
        <x:v>1</x:v>
      </x:c>
      <x:c r="T20" s="148">
        <x:v>0</x:v>
      </x:c>
      <x:c r="U20" s="148">
        <x:v>1</x:v>
      </x:c>
      <x:c r="V20" s="148">
        <x:v>0</x:v>
      </x:c>
      <x:c r="W20" s="146"/>
      <x:c r="X20" s="146"/>
      <x:c r="Y20" s="149"/>
      <x:c r="Z20" s="150"/>
      <x:c r="AA20" s="148"/>
      <x:c r="AB20" s="147" t="s">
        <x:v>22</x:v>
      </x:c>
      <x:c r="AC20" s="151"/>
      <x:c r="AD20" s="212">
        <x:v>0</x:v>
      </x:c>
      <x:c r="AE20" s="214">
        <x:v>0</x:v>
      </x:c>
      <x:c r="AF20" s="191"/>
      <x:c r="AG20" s="192"/>
      <x:c r="AH20" s="192"/>
      <x:c r="AI20" s="192"/>
      <x:c r="AJ20" s="192"/>
      <x:c r="AK20" s="192"/>
      <x:c r="AL20" s="192"/>
      <x:c r="AM20" s="192"/>
      <x:c r="AN20" s="192"/>
      <x:c r="AO20" s="192"/>
      <x:c r="AP20" s="192"/>
      <x:c r="AQ20" s="192"/>
      <x:c r="AR20" s="192"/>
      <x:c r="AS20" s="192"/>
      <x:c r="AT20" s="192"/>
      <x:c r="AU20" s="192"/>
      <x:c r="AV20" s="192"/>
      <x:c r="AW20" s="192"/>
      <x:c r="AX20" s="192"/>
      <x:c r="AY20" s="192"/>
      <x:c r="AZ20" s="192"/>
      <x:c r="BA20" s="192"/>
      <x:c r="BB20" s="192"/>
      <x:c r="BC20" s="192"/>
    </x:row>
    <x:row r="21" spans="1:55" customHeight="1" outlineLevel="1">
      <x:c r="A21" s="204"/>
      <x:c r="B21" s="204" t="s">
        <x:v>1539</x:v>
      </x:c>
      <x:c r="C21" s="204">
        <x:v>2</x:v>
      </x:c>
      <x:c r="D21" s="217" t="s">
        <x:v>1483</x:v>
      </x:c>
      <x:c r="E21" s="205"/>
      <x:c r="F21" s="205" t="s">
        <x:v>884</x:v>
      </x:c>
      <x:c r="G21" s="205"/>
      <x:c r="H21" s="205"/>
      <x:c r="I21" s="205"/>
      <x:c r="J21" s="205"/>
      <x:c r="K21" s="205"/>
      <x:c r="L21" s="205"/>
      <x:c r="M21" s="205"/>
      <x:c r="N21" s="205"/>
      <x:c r="O21" s="205"/>
      <x:c r="P21" s="206">
        <x:v>44539</x:v>
      </x:c>
      <x:c r="Q21" s="206">
        <x:v>44546</x:v>
      </x:c>
      <x:c r="R21" s="207"/>
      <x:c r="S21" s="208">
        <x:v>9</x:v>
      </x:c>
      <x:c r="T21" s="208">
        <x:v>0</x:v>
      </x:c>
      <x:c r="U21" s="208">
        <x:v>5</x:v>
      </x:c>
      <x:c r="V21" s="208">
        <x:v>0</x:v>
      </x:c>
      <x:c r="W21" s="206"/>
      <x:c r="X21" s="206"/>
      <x:c r="Y21" s="209">
        <x:v>0</x:v>
      </x:c>
      <x:c r="Z21" s="210">
        <x:v>0</x:v>
      </x:c>
      <x:c r="AA21" s="208"/>
      <x:c r="AB21" s="147" t="s">
        <x:v>22</x:v>
      </x:c>
      <x:c r="AC21" s="211"/>
      <x:c r="AD21" s="212">
        <x:v>0</x:v>
      </x:c>
      <x:c r="AE21" s="222">
        <x:v>0</x:v>
      </x:c>
      <x:c r="AF21" s="191"/>
      <x:c r="AG21" s="192"/>
      <x:c r="AH21" s="192"/>
      <x:c r="AI21" s="192"/>
      <x:c r="AJ21" s="192"/>
      <x:c r="AK21" s="192"/>
      <x:c r="AL21" s="192"/>
      <x:c r="AM21" s="192"/>
      <x:c r="AN21" s="192"/>
      <x:c r="AO21" s="192"/>
      <x:c r="AP21" s="192"/>
      <x:c r="AQ21" s="192"/>
      <x:c r="AR21" s="192"/>
      <x:c r="AS21" s="192"/>
      <x:c r="AT21" s="192"/>
      <x:c r="AU21" s="192"/>
      <x:c r="AV21" s="192"/>
      <x:c r="AW21" s="192"/>
      <x:c r="AX21" s="192" t="str">
        <x:f>"    "&amp;TEXT(AE21,"#0.00%")&amp;" "</x:f>
        <x:v xml:space="preserve">    0.00% </x:v>
      </x:c>
      <x:c r="AY21" s="192"/>
      <x:c r="AZ21" s="192"/>
      <x:c r="BA21" s="192"/>
      <x:c r="BB21" s="192" t="str">
        <x:f>"  "&amp;"프로젝트 종료"&amp;" "&amp;IF(P21="","",TEXT(P21,"M/D-"))&amp;IF(Q21="","",TEXT(Q21,"M/D"))&amp;" "</x:f>
        <x:v xml:space="preserve">  프로젝트 종료 12/9-12/16 </x:v>
      </x:c>
      <x:c r="BC21" s="192"/>
    </x:row>
    <x:row r="22" spans="1:55" customHeight="1" outlineLevel="2">
      <x:c r="A22" s="204"/>
      <x:c r="B22" s="204"/>
      <x:c r="C22" s="204">
        <x:v>3</x:v>
      </x:c>
      <x:c r="D22" s="217" t="s">
        <x:v>821</x:v>
      </x:c>
      <x:c r="E22" s="205"/>
      <x:c r="F22" s="205"/>
      <x:c r="G22" s="205" t="s">
        <x:v>866</x:v>
      </x:c>
      <x:c r="H22" s="205"/>
      <x:c r="I22" s="205"/>
      <x:c r="J22" s="205"/>
      <x:c r="K22" s="205"/>
      <x:c r="L22" s="205"/>
      <x:c r="M22" s="205"/>
      <x:c r="N22" s="205"/>
      <x:c r="O22" s="205"/>
      <x:c r="P22" s="206">
        <x:v>44539</x:v>
      </x:c>
      <x:c r="Q22" s="146">
        <x:v>44545</x:v>
      </x:c>
      <x:c r="R22" s="207"/>
      <x:c r="S22" s="208">
        <x:v>6</x:v>
      </x:c>
      <x:c r="T22" s="208">
        <x:v>0</x:v>
      </x:c>
      <x:c r="U22" s="208">
        <x:v>3</x:v>
      </x:c>
      <x:c r="V22" s="208">
        <x:v>0</x:v>
      </x:c>
      <x:c r="W22" s="206"/>
      <x:c r="X22" s="206"/>
      <x:c r="Y22" s="209"/>
      <x:c r="Z22" s="210">
        <x:v>0</x:v>
      </x:c>
      <x:c r="AA22" s="208">
        <x:v>1</x:v>
      </x:c>
      <x:c r="AB22" s="147" t="s">
        <x:v>22</x:v>
      </x:c>
      <x:c r="AC22" s="211"/>
      <x:c r="AD22" s="212">
        <x:v>0</x:v>
      </x:c>
      <x:c r="AE22" s="214">
        <x:v>0</x:v>
      </x:c>
      <x:c r="AF22" s="191"/>
      <x:c r="AG22" s="192"/>
      <x:c r="AH22" s="192"/>
      <x:c r="AI22" s="192"/>
      <x:c r="AJ22" s="192"/>
      <x:c r="AK22" s="192"/>
      <x:c r="AL22" s="192"/>
      <x:c r="AM22" s="192"/>
      <x:c r="AN22" s="192"/>
      <x:c r="AO22" s="192"/>
      <x:c r="AP22" s="192"/>
      <x:c r="AQ22" s="192"/>
      <x:c r="AR22" s="192"/>
      <x:c r="AS22" s="192"/>
      <x:c r="AT22" s="192"/>
      <x:c r="AU22" s="192"/>
      <x:c r="AV22" s="192"/>
      <x:c r="AW22" s="192"/>
      <x:c r="AX22" s="192" t="str">
        <x:f>"    "&amp;TEXT(AE22,"#0.00%")&amp;" "&amp;"종료계획수립"&amp;"(김분석,이지은)"&amp;" "&amp;IF(P22="","",TEXT(P22,"M/D-"))&amp;IF(Q22="","",TEXT(Q22,"M/D"))&amp;" "</x:f>
        <x:v xml:space="preserve">    0.00% 종료계획수립(김분석,이지은) 12/9-12/15 </x:v>
      </x:c>
      <x:c r="AY22" s="192"/>
      <x:c r="AZ22" s="192"/>
      <x:c r="BA22" s="192"/>
      <x:c r="BB22" s="192"/>
      <x:c r="BC22" s="192"/>
    </x:row>
    <x:row r="23" spans="1:55" customHeight="1" outlineLevel="2">
      <x:c r="A23" s="204"/>
      <x:c r="B23" s="204"/>
      <x:c r="C23" s="204">
        <x:v>3</x:v>
      </x:c>
      <x:c r="D23" s="217" t="s">
        <x:v>864</x:v>
      </x:c>
      <x:c r="E23" s="205"/>
      <x:c r="F23" s="205"/>
      <x:c r="G23" s="205" t="s">
        <x:v>867</x:v>
      </x:c>
      <x:c r="H23" s="205"/>
      <x:c r="I23" s="205"/>
      <x:c r="J23" s="205"/>
      <x:c r="K23" s="205"/>
      <x:c r="L23" s="205"/>
      <x:c r="M23" s="205"/>
      <x:c r="N23" s="205"/>
      <x:c r="O23" s="205"/>
      <x:c r="P23" s="206">
        <x:v>44546</x:v>
      </x:c>
      <x:c r="Q23" s="146">
        <x:v>44546</x:v>
      </x:c>
      <x:c r="R23" s="207"/>
      <x:c r="S23" s="208">
        <x:v>2</x:v>
      </x:c>
      <x:c r="T23" s="208">
        <x:v>0</x:v>
      </x:c>
      <x:c r="U23" s="208">
        <x:v>1</x:v>
      </x:c>
      <x:c r="V23" s="208">
        <x:v>0</x:v>
      </x:c>
      <x:c r="W23" s="206"/>
      <x:c r="X23" s="206"/>
      <x:c r="Y23" s="209"/>
      <x:c r="Z23" s="210">
        <x:v>0</x:v>
      </x:c>
      <x:c r="AA23" s="208">
        <x:v>1</x:v>
      </x:c>
      <x:c r="AB23" s="147" t="s">
        <x:v>22</x:v>
      </x:c>
      <x:c r="AC23" s="211"/>
      <x:c r="AD23" s="212">
        <x:v>0</x:v>
      </x:c>
      <x:c r="AE23" s="214">
        <x:v>0</x:v>
      </x:c>
      <x:c r="AF23" s="191"/>
      <x:c r="AG23" s="192"/>
      <x:c r="AH23" s="192"/>
      <x:c r="AI23" s="192"/>
      <x:c r="AJ23" s="192"/>
      <x:c r="AK23" s="192"/>
      <x:c r="AL23" s="192"/>
      <x:c r="AM23" s="192"/>
      <x:c r="AN23" s="192"/>
      <x:c r="AO23" s="192"/>
      <x:c r="AP23" s="192"/>
      <x:c r="AQ23" s="192"/>
      <x:c r="AR23" s="192"/>
      <x:c r="AS23" s="192"/>
      <x:c r="AT23" s="192"/>
      <x:c r="AU23" s="192"/>
      <x:c r="AV23" s="192"/>
      <x:c r="AW23" s="192"/>
      <x:c r="AX23" s="192"/>
      <x:c r="AY23" s="192"/>
      <x:c r="AZ23" s="192"/>
      <x:c r="BA23" s="192"/>
      <x:c r="BB23" s="192" t="str">
        <x:f>" "&amp;TEXT(AE23,"#0.00%")&amp;" "&amp;"종료보고"&amp;"(나고객,이고객)"&amp;" "&amp;IF(P23="","",TEXT(P23,"M/D-"))&amp;IF(Q23="","",TEXT(Q23,"M/D"))&amp;" "</x:f>
        <x:v xml:space="preserve"> 0.00% 종료보고(나고객,이고객) 12/16-12/16 </x:v>
      </x:c>
      <x:c r="BC23" s="192"/>
    </x:row>
    <x:row r="24" spans="1:55" customHeight="1" outlineLevel="2">
      <x:c r="A24" s="204">
        <x:v>1</x:v>
      </x:c>
      <x:c r="B24" s="204"/>
      <x:c r="C24" s="204">
        <x:v>3</x:v>
      </x:c>
      <x:c r="D24" s="217" t="s">
        <x:v>869</x:v>
      </x:c>
      <x:c r="E24" s="205"/>
      <x:c r="F24" s="205"/>
      <x:c r="G24" s="205" t="s">
        <x:v>870</x:v>
      </x:c>
      <x:c r="H24" s="205"/>
      <x:c r="I24" s="205"/>
      <x:c r="J24" s="205"/>
      <x:c r="K24" s="205"/>
      <x:c r="L24" s="205"/>
      <x:c r="M24" s="205"/>
      <x:c r="N24" s="205"/>
      <x:c r="O24" s="205"/>
      <x:c r="P24" s="146">
        <x:v>44546</x:v>
      </x:c>
      <x:c r="Q24" s="146">
        <x:v>44546</x:v>
      </x:c>
      <x:c r="R24" s="207"/>
      <x:c r="S24" s="148">
        <x:v>1</x:v>
      </x:c>
      <x:c r="T24" s="208">
        <x:v>0</x:v>
      </x:c>
      <x:c r="U24" s="208">
        <x:v>1</x:v>
      </x:c>
      <x:c r="V24" s="208">
        <x:v>0</x:v>
      </x:c>
      <x:c r="W24" s="206"/>
      <x:c r="X24" s="206"/>
      <x:c r="Y24" s="209"/>
      <x:c r="Z24" s="210">
        <x:v>0</x:v>
      </x:c>
      <x:c r="AA24" s="208">
        <x:v>1</x:v>
      </x:c>
      <x:c r="AB24" s="147" t="s">
        <x:v>22</x:v>
      </x:c>
      <x:c r="AC24" s="211"/>
      <x:c r="AD24" s="212">
        <x:v>0</x:v>
      </x:c>
      <x:c r="AE24" s="214">
        <x:v>0</x:v>
      </x:c>
      <x:c r="AF24" s="191"/>
      <x:c r="AG24" s="192"/>
      <x:c r="AH24" s="192"/>
      <x:c r="AI24" s="192"/>
      <x:c r="AJ24" s="192"/>
      <x:c r="AK24" s="192"/>
      <x:c r="AL24" s="192"/>
      <x:c r="AM24" s="192"/>
      <x:c r="AN24" s="192"/>
      <x:c r="AO24" s="192"/>
      <x:c r="AP24" s="192"/>
      <x:c r="AQ24" s="192"/>
      <x:c r="AR24" s="192"/>
      <x:c r="AS24" s="192"/>
      <x:c r="AT24" s="192"/>
      <x:c r="AU24" s="192"/>
      <x:c r="AV24" s="192"/>
      <x:c r="AW24" s="192"/>
      <x:c r="AX24" s="192"/>
      <x:c r="AY24" s="192"/>
      <x:c r="AZ24" s="192"/>
      <x:c r="BA24" s="192"/>
      <x:c r="BB24" s="192" t="str">
        <x:f>"     "&amp;TEXT(AE24,"#0.00%")&amp;" "&amp;"검수 및 종료"&amp;" "&amp;IF(P24="","",TEXT(P24,"M/D-"))&amp;IF(Q24="","",TEXT(Q24,"M/D"))&amp;" "</x:f>
        <x:v xml:space="preserve">     0.00% 검수 및 종료 12/16-12/16 </x:v>
      </x:c>
      <x:c r="BC24" s="192"/>
    </x:row>
    <x:row r="25" spans="1:55" customHeight="1" outlineLevel="2">
      <x:c r="A25" s="204"/>
      <x:c r="B25" s="204"/>
      <x:c r="C25" s="204">
        <x:v>0</x:v>
      </x:c>
      <x:c r="D25" s="205"/>
      <x:c r="E25" s="205"/>
      <x:c r="F25" s="205"/>
      <x:c r="G25" s="205"/>
      <x:c r="H25" s="205"/>
      <x:c r="I25" s="205"/>
      <x:c r="J25" s="205"/>
      <x:c r="K25" s="205"/>
      <x:c r="L25" s="205"/>
      <x:c r="M25" s="205"/>
      <x:c r="N25" s="205"/>
      <x:c r="O25" s="205"/>
      <x:c r="P25" s="206"/>
      <x:c r="Q25" s="206"/>
      <x:c r="R25" s="207"/>
      <x:c r="S25" s="208"/>
      <x:c r="T25" s="208"/>
      <x:c r="U25" s="208"/>
      <x:c r="V25" s="208"/>
      <x:c r="W25" s="206"/>
      <x:c r="X25" s="206"/>
      <x:c r="Y25" s="209"/>
      <x:c r="Z25" s="210">
        <x:v>0</x:v>
      </x:c>
      <x:c r="AA25" s="208"/>
      <x:c r="AB25" s="207"/>
      <x:c r="AC25" s="211"/>
      <x:c r="AD25" s="212"/>
      <x:c r="AE25" s="219"/>
      <x:c r="AF25" s="191"/>
      <x:c r="AG25" s="192"/>
      <x:c r="AH25" s="192"/>
      <x:c r="AI25" s="192"/>
      <x:c r="AJ25" s="192"/>
      <x:c r="AK25" s="192"/>
      <x:c r="AL25" s="192"/>
      <x:c r="AM25" s="192"/>
      <x:c r="AN25" s="192"/>
      <x:c r="AO25" s="192"/>
      <x:c r="AP25" s="192"/>
      <x:c r="AQ25" s="192"/>
      <x:c r="AR25" s="192"/>
      <x:c r="AS25" s="192"/>
      <x:c r="AT25" s="192"/>
      <x:c r="AU25" s="192"/>
      <x:c r="AV25" s="192"/>
      <x:c r="AW25" s="192"/>
      <x:c r="AX25" s="192"/>
      <x:c r="AY25" s="192"/>
      <x:c r="AZ25" s="192"/>
      <x:c r="BA25" s="192"/>
      <x:c r="BB25" s="192"/>
      <x:c r="BC25" s="192"/>
    </x:row>
    <x:row r="26" spans="1:55" customHeight="1">
      <x:c r="A26" s="204"/>
      <x:c r="B26" s="204" t="s">
        <x:v>1539</x:v>
      </x:c>
      <x:c r="C26" s="204">
        <x:v>1</x:v>
      </x:c>
      <x:c r="D26" s="217" t="s">
        <x:v>1469</x:v>
      </x:c>
      <x:c r="E26" s="205" t="s">
        <x:v>918</x:v>
      </x:c>
      <x:c r="F26" s="205"/>
      <x:c r="G26" s="205"/>
      <x:c r="H26" s="205"/>
      <x:c r="I26" s="205"/>
      <x:c r="J26" s="205"/>
      <x:c r="K26" s="205"/>
      <x:c r="L26" s="205"/>
      <x:c r="M26" s="205"/>
      <x:c r="N26" s="205"/>
      <x:c r="O26" s="205"/>
      <x:c r="P26" s="206">
        <x:v>44476</x:v>
      </x:c>
      <x:c r="Q26" s="206">
        <x:v>44546</x:v>
      </x:c>
      <x:c r="R26" s="207"/>
      <x:c r="S26" s="208">
        <x:v>250.30000000000001</x:v>
      </x:c>
      <x:c r="T26" s="208">
        <x:v>12.4</x:v>
      </x:c>
      <x:c r="U26" s="208">
        <x:v>87</x:v>
      </x:c>
      <x:c r="V26" s="208">
        <x:v>7</x:v>
      </x:c>
      <x:c r="W26" s="206"/>
      <x:c r="X26" s="206"/>
      <x:c r="Y26" s="209">
        <x:v>0</x:v>
      </x:c>
      <x:c r="Z26" s="210">
        <x:v>0</x:v>
      </x:c>
      <x:c r="AA26" s="208"/>
      <x:c r="AB26" s="147" t="s">
        <x:v>22</x:v>
      </x:c>
      <x:c r="AC26" s="211"/>
      <x:c r="AD26" s="212">
        <x:v>0</x:v>
      </x:c>
      <x:c r="AE26" s="224">
        <x:v>0</x:v>
      </x:c>
      <x:c r="AF26" s="191"/>
      <x:c r="AG26" s="192"/>
      <x:c r="AH26" s="192" t="str">
        <x:f>"    "&amp;TEXT(AE26,"#0.00%")&amp;" "</x:f>
        <x:v xml:space="preserve">    0.00% </x:v>
      </x:c>
      <x:c r="AI26" s="192"/>
      <x:c r="AJ26" s="192"/>
      <x:c r="AK26" s="192"/>
      <x:c r="AL26" s="192"/>
      <x:c r="AM26" s="192"/>
      <x:c r="AN26" s="192"/>
      <x:c r="AO26" s="192"/>
      <x:c r="AP26" s="192"/>
      <x:c r="AQ26" s="192"/>
      <x:c r="AR26" s="192"/>
      <x:c r="AS26" s="192"/>
      <x:c r="AT26" s="192"/>
      <x:c r="AU26" s="192"/>
      <x:c r="AV26" s="192"/>
      <x:c r="AW26" s="192"/>
      <x:c r="AX26" s="192"/>
      <x:c r="AY26" s="192" t="str">
        <x:f>" "&amp;"시스템 개발"&amp;" "&amp;IF(P26="","",TEXT(P26,"M/D-"))&amp;IF(Q26="","",TEXT(Q26,"M/D"))&amp;" "</x:f>
        <x:v xml:space="preserve"> 시스템 개발 10/7-12/16 </x:v>
      </x:c>
      <x:c r="AZ26" s="192"/>
      <x:c r="BA26" s="192"/>
      <x:c r="BB26" s="192"/>
      <x:c r="BC26" s="192"/>
    </x:row>
    <x:row r="27" spans="1:55" customHeight="1" outlineLevel="1">
      <x:c r="A27" s="204"/>
      <x:c r="B27" s="204" t="s">
        <x:v>1539</x:v>
      </x:c>
      <x:c r="C27" s="204">
        <x:v>2</x:v>
      </x:c>
      <x:c r="D27" s="217" t="s">
        <x:v>1548</x:v>
      </x:c>
      <x:c r="E27" s="205"/>
      <x:c r="F27" s="205" t="s">
        <x:v>1463</x:v>
      </x:c>
      <x:c r="G27" s="205"/>
      <x:c r="H27" s="205"/>
      <x:c r="I27" s="205"/>
      <x:c r="J27" s="205"/>
      <x:c r="K27" s="205"/>
      <x:c r="L27" s="205"/>
      <x:c r="M27" s="205"/>
      <x:c r="N27" s="205"/>
      <x:c r="O27" s="205"/>
      <x:c r="P27" s="146">
        <x:v>44476</x:v>
      </x:c>
      <x:c r="Q27" s="206">
        <x:v>44483</x:v>
      </x:c>
      <x:c r="R27" s="207"/>
      <x:c r="S27" s="208">
        <x:v>39.299999999999997</x:v>
      </x:c>
      <x:c r="T27" s="208">
        <x:v>12.4</x:v>
      </x:c>
      <x:c r="U27" s="208">
        <x:v>15</x:v>
      </x:c>
      <x:c r="V27" s="208">
        <x:v>7</x:v>
      </x:c>
      <x:c r="W27" s="206"/>
      <x:c r="X27" s="206"/>
      <x:c r="Y27" s="209">
        <x:v>0</x:v>
      </x:c>
      <x:c r="Z27" s="210">
        <x:v>0</x:v>
      </x:c>
      <x:c r="AA27" s="208"/>
      <x:c r="AB27" s="147" t="s">
        <x:v>22</x:v>
      </x:c>
      <x:c r="AC27" s="211"/>
      <x:c r="AD27" s="212">
        <x:v>0</x:v>
      </x:c>
      <x:c r="AE27" s="224">
        <x:v>0</x:v>
      </x:c>
      <x:c r="AF27" s="191"/>
      <x:c r="AG27" s="192"/>
      <x:c r="AH27" s="192" t="str">
        <x:f>"   "&amp;TEXT(AE27,"#0.00%")&amp;" "&amp;"분석"&amp;" "&amp;IF(P27="","",TEXT(P27,"M/D-"))&amp;IF(Q27="","",TEXT(Q27,"M/D"))&amp;" "</x:f>
        <x:v xml:space="preserve">   0.00% 분석 10/7-10/14 </x:v>
      </x:c>
      <x:c r="AI27" s="192"/>
      <x:c r="AJ27" s="192"/>
      <x:c r="AK27" s="192"/>
      <x:c r="AL27" s="192"/>
      <x:c r="AM27" s="192"/>
      <x:c r="AN27" s="192"/>
      <x:c r="AO27" s="192"/>
      <x:c r="AP27" s="192"/>
      <x:c r="AQ27" s="192"/>
      <x:c r="AR27" s="192"/>
      <x:c r="AS27" s="192"/>
      <x:c r="AT27" s="192"/>
      <x:c r="AU27" s="192"/>
      <x:c r="AV27" s="192"/>
      <x:c r="AW27" s="192"/>
      <x:c r="AX27" s="192"/>
      <x:c r="AY27" s="192"/>
      <x:c r="AZ27" s="192"/>
      <x:c r="BA27" s="192"/>
      <x:c r="BB27" s="192"/>
      <x:c r="BC27" s="192"/>
    </x:row>
    <x:row r="28" spans="1:55" customHeight="1" outlineLevel="2">
      <x:c r="A28" s="204"/>
      <x:c r="B28" s="204"/>
      <x:c r="C28" s="204">
        <x:v>3</x:v>
      </x:c>
      <x:c r="D28" s="217" t="s">
        <x:v>904</x:v>
      </x:c>
      <x:c r="E28" s="205"/>
      <x:c r="F28" s="205"/>
      <x:c r="G28" s="205" t="s">
        <x:v>13</x:v>
      </x:c>
      <x:c r="H28" s="205"/>
      <x:c r="I28" s="205"/>
      <x:c r="J28" s="205"/>
      <x:c r="K28" s="205"/>
      <x:c r="L28" s="205"/>
      <x:c r="M28" s="205"/>
      <x:c r="N28" s="205"/>
      <x:c r="O28" s="205"/>
      <x:c r="P28" s="206">
        <x:v>44476</x:v>
      </x:c>
      <x:c r="Q28" s="206">
        <x:v>44483</x:v>
      </x:c>
      <x:c r="R28" s="207"/>
      <x:c r="S28" s="208">
        <x:v>15</x:v>
      </x:c>
      <x:c r="T28" s="208">
        <x:v>7</x:v>
      </x:c>
      <x:c r="U28" s="208">
        <x:v>15</x:v>
      </x:c>
      <x:c r="V28" s="208">
        <x:v>7</x:v>
      </x:c>
      <x:c r="W28" s="206">
        <x:v>44190</x:v>
      </x:c>
      <x:c r="X28" s="206">
        <x:v>44208</x:v>
      </x:c>
      <x:c r="Y28" s="209">
        <x:v>11</x:v>
      </x:c>
      <x:c r="Z28" s="210">
        <x:v>11</x:v>
      </x:c>
      <x:c r="AA28" s="208">
        <x:v>1</x:v>
      </x:c>
      <x:c r="AB28" s="147" t="s">
        <x:v>22</x:v>
      </x:c>
      <x:c r="AC28" s="211"/>
      <x:c r="AD28" s="212">
        <x:v>0</x:v>
      </x:c>
      <x:c r="AE28" s="223">
        <x:v>0</x:v>
      </x:c>
      <x:c r="AF28" s="191"/>
      <x:c r="AG28" s="192"/>
      <x:c r="AH28" s="192"/>
      <x:c r="AI28" s="192" t="str">
        <x:f>"      "&amp;TEXT(AE28,"#0.00%")&amp;" "&amp;"요구사항정의"&amp;" "&amp;IF(P28="","",TEXT(P28,"M/D-"))&amp;IF(Q28="","",TEXT(Q28,"M/D"))&amp;" "</x:f>
        <x:v xml:space="preserve">      0.00% 요구사항정의 10/7-10/14 </x:v>
      </x:c>
      <x:c r="AJ28" s="192"/>
      <x:c r="AK28" s="192"/>
      <x:c r="AL28" s="192"/>
      <x:c r="AM28" s="192"/>
      <x:c r="AN28" s="192"/>
      <x:c r="AO28" s="192"/>
      <x:c r="AP28" s="192"/>
      <x:c r="AQ28" s="192"/>
      <x:c r="AR28" s="192"/>
      <x:c r="AS28" s="192"/>
      <x:c r="AT28" s="192"/>
      <x:c r="AU28" s="192"/>
      <x:c r="AV28" s="192"/>
      <x:c r="AW28" s="192"/>
      <x:c r="AX28" s="192"/>
      <x:c r="AY28" s="192"/>
      <x:c r="AZ28" s="192"/>
      <x:c r="BA28" s="192"/>
      <x:c r="BB28" s="192"/>
      <x:c r="BC28" s="192"/>
    </x:row>
    <x:row r="29" spans="1:55" customHeight="1" outlineLevel="2">
      <x:c r="A29" s="204"/>
      <x:c r="B29" s="204" t="s">
        <x:v>1539</x:v>
      </x:c>
      <x:c r="C29" s="204">
        <x:v>3</x:v>
      </x:c>
      <x:c r="D29" s="217" t="s">
        <x:v>919</x:v>
      </x:c>
      <x:c r="E29" s="205"/>
      <x:c r="F29" s="205"/>
      <x:c r="G29" s="205" t="s">
        <x:v>911</x:v>
      </x:c>
      <x:c r="H29" s="205"/>
      <x:c r="I29" s="205"/>
      <x:c r="J29" s="205"/>
      <x:c r="K29" s="205"/>
      <x:c r="L29" s="205"/>
      <x:c r="M29" s="205"/>
      <x:c r="N29" s="205"/>
      <x:c r="O29" s="205"/>
      <x:c r="P29" s="146">
        <x:v>44476</x:v>
      </x:c>
      <x:c r="Q29" s="146">
        <x:v>44483</x:v>
      </x:c>
      <x:c r="R29" s="207"/>
      <x:c r="S29" s="208">
        <x:v>24.299999999999997</x:v>
      </x:c>
      <x:c r="T29" s="208">
        <x:v>5.4000000000000004</x:v>
      </x:c>
      <x:c r="U29" s="208">
        <x:v>9</x:v>
      </x:c>
      <x:c r="V29" s="208">
        <x:v>2</x:v>
      </x:c>
      <x:c r="W29" s="206"/>
      <x:c r="X29" s="206"/>
      <x:c r="Y29" s="209">
        <x:v>0</x:v>
      </x:c>
      <x:c r="Z29" s="210">
        <x:v>0</x:v>
      </x:c>
      <x:c r="AA29" s="208"/>
      <x:c r="AB29" s="147" t="s">
        <x:v>22</x:v>
      </x:c>
      <x:c r="AC29" s="211"/>
      <x:c r="AD29" s="212">
        <x:v>0</x:v>
      </x:c>
      <x:c r="AE29" s="216">
        <x:v>0</x:v>
      </x:c>
      <x:c r="AF29" s="191"/>
      <x:c r="AG29" s="192"/>
      <x:c r="AH29" s="192" t="str">
        <x:f>"  "&amp;TEXT(AE29,"#0.00%")&amp;" "&amp;"논리모델구축"&amp;" "&amp;IF(P29="","",TEXT(P29,"M/D-"))&amp;IF(Q29="","",TEXT(Q29,"M/D"))&amp;" "</x:f>
        <x:v xml:space="preserve">  0.00% 논리모델구축 10/7-10/14 </x:v>
      </x:c>
      <x:c r="AI29" s="192"/>
      <x:c r="AJ29" s="192"/>
      <x:c r="AK29" s="192"/>
      <x:c r="AL29" s="192"/>
      <x:c r="AM29" s="192"/>
      <x:c r="AN29" s="192"/>
      <x:c r="AO29" s="192"/>
      <x:c r="AP29" s="192"/>
      <x:c r="AQ29" s="192"/>
      <x:c r="AR29" s="192"/>
      <x:c r="AS29" s="192"/>
      <x:c r="AT29" s="192"/>
      <x:c r="AU29" s="192"/>
      <x:c r="AV29" s="192"/>
      <x:c r="AW29" s="192"/>
      <x:c r="AX29" s="192"/>
      <x:c r="AY29" s="192"/>
      <x:c r="AZ29" s="192"/>
      <x:c r="BA29" s="192"/>
      <x:c r="BB29" s="192"/>
      <x:c r="BC29" s="192"/>
    </x:row>
    <x:row r="30" spans="1:55" customHeight="1" outlineLevel="3">
      <x:c r="A30" s="204"/>
      <x:c r="B30" s="204"/>
      <x:c r="C30" s="204">
        <x:v>4</x:v>
      </x:c>
      <x:c r="D30" s="217" t="s">
        <x:v>920</x:v>
      </x:c>
      <x:c r="E30" s="205"/>
      <x:c r="F30" s="205"/>
      <x:c r="G30" s="205"/>
      <x:c r="H30" s="205" t="s">
        <x:v>1567</x:v>
      </x:c>
      <x:c r="I30" s="205"/>
      <x:c r="J30" s="205"/>
      <x:c r="K30" s="205"/>
      <x:c r="L30" s="205"/>
      <x:c r="M30" s="205"/>
      <x:c r="N30" s="205"/>
      <x:c r="O30" s="205"/>
      <x:c r="P30" s="146">
        <x:v>44476</x:v>
      </x:c>
      <x:c r="Q30" s="146">
        <x:v>44483</x:v>
      </x:c>
      <x:c r="R30" s="207"/>
      <x:c r="S30" s="208">
        <x:v>9</x:v>
      </x:c>
      <x:c r="T30" s="208">
        <x:v>2</x:v>
      </x:c>
      <x:c r="U30" s="208">
        <x:v>9</x:v>
      </x:c>
      <x:c r="V30" s="208">
        <x:v>2</x:v>
      </x:c>
      <x:c r="W30" s="206">
        <x:v>44196</x:v>
      </x:c>
      <x:c r="X30" s="206"/>
      <x:c r="Y30" s="209">
        <x:v>-31557</x:v>
      </x:c>
      <x:c r="Z30" s="210">
        <x:v>0</x:v>
      </x:c>
      <x:c r="AA30" s="208">
        <x:v>1</x:v>
      </x:c>
      <x:c r="AB30" s="147" t="s">
        <x:v>22</x:v>
      </x:c>
      <x:c r="AC30" s="211"/>
      <x:c r="AD30" s="212">
        <x:v>0</x:v>
      </x:c>
      <x:c r="AE30" s="215">
        <x:v>0</x:v>
      </x:c>
      <x:c r="AF30" s="191"/>
      <x:c r="AG30" s="192"/>
      <x:c r="AH30" s="192" t="str">
        <x:f>"  "&amp;TEXT(AE30,"#0.00%")&amp;" "&amp;"프로세스모델링"&amp;" "&amp;IF(P30="","",TEXT(P30,"M/D-"))&amp;IF(Q30="","",TEXT(Q30,"M/D"))&amp;" "</x:f>
        <x:v xml:space="preserve">  0.00% 프로세스모델링 10/7-10/14 </x:v>
      </x:c>
      <x:c r="AI30" s="192"/>
      <x:c r="AJ30" s="192"/>
      <x:c r="AK30" s="192"/>
      <x:c r="AL30" s="192"/>
      <x:c r="AM30" s="192"/>
      <x:c r="AN30" s="192"/>
      <x:c r="AO30" s="192"/>
      <x:c r="AP30" s="192"/>
      <x:c r="AQ30" s="192"/>
      <x:c r="AR30" s="192"/>
      <x:c r="AS30" s="192"/>
      <x:c r="AT30" s="192"/>
      <x:c r="AU30" s="192"/>
      <x:c r="AV30" s="192"/>
      <x:c r="AW30" s="192"/>
      <x:c r="AX30" s="192"/>
      <x:c r="AY30" s="192"/>
      <x:c r="AZ30" s="192"/>
      <x:c r="BA30" s="192"/>
      <x:c r="BB30" s="192"/>
      <x:c r="BC30" s="192"/>
    </x:row>
    <x:row r="31" spans="1:55" customHeight="1" outlineLevel="3">
      <x:c r="A31" s="204"/>
      <x:c r="B31" s="204"/>
      <x:c r="C31" s="204">
        <x:v>4</x:v>
      </x:c>
      <x:c r="D31" s="217" t="s">
        <x:v>899</x:v>
      </x:c>
      <x:c r="E31" s="205"/>
      <x:c r="F31" s="205"/>
      <x:c r="G31" s="205"/>
      <x:c r="H31" s="205" t="s">
        <x:v>940</x:v>
      </x:c>
      <x:c r="I31" s="205"/>
      <x:c r="J31" s="205"/>
      <x:c r="K31" s="205"/>
      <x:c r="L31" s="205"/>
      <x:c r="M31" s="205"/>
      <x:c r="N31" s="205"/>
      <x:c r="O31" s="205"/>
      <x:c r="P31" s="146">
        <x:v>44476</x:v>
      </x:c>
      <x:c r="Q31" s="146">
        <x:v>44483</x:v>
      </x:c>
      <x:c r="R31" s="207"/>
      <x:c r="S31" s="208">
        <x:v>15.299999999999999</x:v>
      </x:c>
      <x:c r="T31" s="208">
        <x:v>3.3999999999999999</x:v>
      </x:c>
      <x:c r="U31" s="208">
        <x:v>9</x:v>
      </x:c>
      <x:c r="V31" s="208">
        <x:v>2</x:v>
      </x:c>
      <x:c r="W31" s="206">
        <x:v>44196</x:v>
      </x:c>
      <x:c r="X31" s="206"/>
      <x:c r="Y31" s="209">
        <x:v>-31557</x:v>
      </x:c>
      <x:c r="Z31" s="210">
        <x:v>0</x:v>
      </x:c>
      <x:c r="AA31" s="208">
        <x:v>1</x:v>
      </x:c>
      <x:c r="AB31" s="147" t="s">
        <x:v>22</x:v>
      </x:c>
      <x:c r="AC31" s="211"/>
      <x:c r="AD31" s="212">
        <x:v>0</x:v>
      </x:c>
      <x:c r="AE31" s="215">
        <x:v>0</x:v>
      </x:c>
      <x:c r="AF31" s="191"/>
      <x:c r="AG31" s="192"/>
      <x:c r="AH31" s="192" t="str">
        <x:f>"  "&amp;TEXT(AE31,"#0.00%")&amp;" "&amp;"데이터모델링"&amp;"(박설계[120%],이지은[50%])"&amp;" "&amp;IF(P31="","",TEXT(P31,"M/D-"))&amp;IF(Q31="","",TEXT(Q31,"M/D"))&amp;" "</x:f>
        <x:v xml:space="preserve">  0.00% 데이터모델링(박설계[120%],이지은[50%]) 10/7-10/14 </x:v>
      </x:c>
      <x:c r="AI31" s="192"/>
      <x:c r="AJ31" s="192"/>
      <x:c r="AK31" s="192"/>
      <x:c r="AL31" s="192"/>
      <x:c r="AM31" s="192"/>
      <x:c r="AN31" s="192"/>
      <x:c r="AO31" s="192"/>
      <x:c r="AP31" s="192"/>
      <x:c r="AQ31" s="192"/>
      <x:c r="AR31" s="192"/>
      <x:c r="AS31" s="192"/>
      <x:c r="AT31" s="192"/>
      <x:c r="AU31" s="192"/>
      <x:c r="AV31" s="192"/>
      <x:c r="AW31" s="192"/>
      <x:c r="AX31" s="192"/>
      <x:c r="AY31" s="192"/>
      <x:c r="AZ31" s="192"/>
      <x:c r="BA31" s="192"/>
      <x:c r="BB31" s="192"/>
      <x:c r="BC31" s="192"/>
    </x:row>
    <x:row r="32" spans="1:55" customHeight="1" outlineLevel="1">
      <x:c r="A32" s="204"/>
      <x:c r="B32" s="204" t="s">
        <x:v>1539</x:v>
      </x:c>
      <x:c r="C32" s="204">
        <x:v>2</x:v>
      </x:c>
      <x:c r="D32" s="217" t="s">
        <x:v>1534</x:v>
      </x:c>
      <x:c r="E32" s="205"/>
      <x:c r="F32" s="205" t="s">
        <x:v>1529</x:v>
      </x:c>
      <x:c r="G32" s="205"/>
      <x:c r="H32" s="205"/>
      <x:c r="I32" s="205"/>
      <x:c r="J32" s="205"/>
      <x:c r="K32" s="205"/>
      <x:c r="L32" s="205"/>
      <x:c r="M32" s="205"/>
      <x:c r="N32" s="205"/>
      <x:c r="O32" s="205"/>
      <x:c r="P32" s="206">
        <x:v>44483</x:v>
      </x:c>
      <x:c r="Q32" s="206">
        <x:v>44497</x:v>
      </x:c>
      <x:c r="R32" s="207"/>
      <x:c r="S32" s="208">
        <x:v>50</x:v>
      </x:c>
      <x:c r="T32" s="208">
        <x:v>0</x:v>
      </x:c>
      <x:c r="U32" s="208">
        <x:v>29</x:v>
      </x:c>
      <x:c r="V32" s="208">
        <x:v>0</x:v>
      </x:c>
      <x:c r="W32" s="206"/>
      <x:c r="X32" s="206"/>
      <x:c r="Y32" s="209">
        <x:v>0</x:v>
      </x:c>
      <x:c r="Z32" s="210">
        <x:v>0</x:v>
      </x:c>
      <x:c r="AA32" s="208"/>
      <x:c r="AB32" s="147" t="s">
        <x:v>22</x:v>
      </x:c>
      <x:c r="AC32" s="211"/>
      <x:c r="AD32" s="212">
        <x:v>0</x:v>
      </x:c>
      <x:c r="AE32" s="222">
        <x:v>0</x:v>
      </x:c>
      <x:c r="AF32" s="191"/>
      <x:c r="AG32" s="192"/>
      <x:c r="AH32" s="192"/>
      <x:c r="AI32" s="192"/>
      <x:c r="AJ32" s="192" t="str">
        <x:f>""&amp;TEXT(AE32,"#0.00%")&amp;" "</x:f>
        <x:v xml:space="preserve">0.00% </x:v>
      </x:c>
      <x:c r="AK32" s="192"/>
      <x:c r="AL32" s="192"/>
      <x:c r="AM32" s="192"/>
      <x:c r="AN32" s="192"/>
      <x:c r="AO32" s="192" t="str">
        <x:f>"     "&amp;"설계"&amp;" "&amp;IF(P32="","",TEXT(P32,"M/D-"))&amp;IF(Q32="","",TEXT(Q32,"M/D"))&amp;" "</x:f>
        <x:v xml:space="preserve">     설계 10/14-10/28 </x:v>
      </x:c>
      <x:c r="AP32" s="192"/>
      <x:c r="AQ32" s="192"/>
      <x:c r="AR32" s="192"/>
      <x:c r="AS32" s="192"/>
      <x:c r="AT32" s="192"/>
      <x:c r="AU32" s="192"/>
      <x:c r="AV32" s="192"/>
      <x:c r="AW32" s="192"/>
      <x:c r="AX32" s="192"/>
      <x:c r="AY32" s="192"/>
      <x:c r="AZ32" s="192"/>
      <x:c r="BA32" s="192"/>
      <x:c r="BB32" s="192"/>
      <x:c r="BC32" s="192"/>
    </x:row>
    <x:row r="33" spans="1:55" customHeight="1" outlineLevel="2">
      <x:c r="A33" s="204"/>
      <x:c r="B33" s="204" t="s">
        <x:v>1539</x:v>
      </x:c>
      <x:c r="C33" s="204">
        <x:v>3</x:v>
      </x:c>
      <x:c r="D33" s="217" t="s">
        <x:v>902</x:v>
      </x:c>
      <x:c r="E33" s="205"/>
      <x:c r="F33" s="205"/>
      <x:c r="G33" s="205" t="s">
        <x:v>913</x:v>
      </x:c>
      <x:c r="H33" s="205"/>
      <x:c r="I33" s="205"/>
      <x:c r="J33" s="205"/>
      <x:c r="K33" s="205"/>
      <x:c r="L33" s="205"/>
      <x:c r="M33" s="205"/>
      <x:c r="N33" s="205"/>
      <x:c r="O33" s="205"/>
      <x:c r="P33" s="146">
        <x:v>44483</x:v>
      </x:c>
      <x:c r="Q33" s="146">
        <x:v>44497</x:v>
      </x:c>
      <x:c r="R33" s="207"/>
      <x:c r="S33" s="208">
        <x:v>32</x:v>
      </x:c>
      <x:c r="T33" s="208">
        <x:v>0</x:v>
      </x:c>
      <x:c r="U33" s="208">
        <x:v>19</x:v>
      </x:c>
      <x:c r="V33" s="208">
        <x:v>0</x:v>
      </x:c>
      <x:c r="W33" s="206"/>
      <x:c r="X33" s="206"/>
      <x:c r="Y33" s="209">
        <x:v>0</x:v>
      </x:c>
      <x:c r="Z33" s="210">
        <x:v>0</x:v>
      </x:c>
      <x:c r="AA33" s="208"/>
      <x:c r="AB33" s="147" t="s">
        <x:v>22</x:v>
      </x:c>
      <x:c r="AC33" s="211"/>
      <x:c r="AD33" s="212">
        <x:v>0</x:v>
      </x:c>
      <x:c r="AE33" s="222">
        <x:v>0</x:v>
      </x:c>
      <x:c r="AF33" s="191"/>
      <x:c r="AG33" s="192"/>
      <x:c r="AH33" s="192"/>
      <x:c r="AI33" s="192"/>
      <x:c r="AJ33" s="192"/>
      <x:c r="AK33" s="192" t="str">
        <x:f>""&amp;TEXT(AE33,"#0.00%")&amp;" "</x:f>
        <x:v xml:space="preserve">0.00% </x:v>
      </x:c>
      <x:c r="AL33" s="192"/>
      <x:c r="AM33" s="192"/>
      <x:c r="AN33" s="192" t="str">
        <x:f>"     "&amp;"시스템 설계"&amp;" "&amp;IF(P33="","",TEXT(P33,"M/D-"))&amp;IF(Q33="","",TEXT(Q33,"M/D"))&amp;" "</x:f>
        <x:v xml:space="preserve">     시스템 설계 10/14-10/28 </x:v>
      </x:c>
      <x:c r="AO33" s="192"/>
      <x:c r="AP33" s="192"/>
      <x:c r="AQ33" s="192"/>
      <x:c r="AR33" s="192"/>
      <x:c r="AS33" s="192"/>
      <x:c r="AT33" s="192"/>
      <x:c r="AU33" s="192"/>
      <x:c r="AV33" s="192"/>
      <x:c r="AW33" s="192"/>
      <x:c r="AX33" s="192"/>
      <x:c r="AY33" s="192"/>
      <x:c r="AZ33" s="192"/>
      <x:c r="BA33" s="192"/>
      <x:c r="BB33" s="192"/>
      <x:c r="BC33" s="192"/>
    </x:row>
    <x:row r="34" spans="1:55" customHeight="1" outlineLevel="3">
      <x:c r="A34" s="204"/>
      <x:c r="B34" s="204"/>
      <x:c r="C34" s="204">
        <x:v>4</x:v>
      </x:c>
      <x:c r="D34" s="217" t="s">
        <x:v>905</x:v>
      </x:c>
      <x:c r="E34" s="205"/>
      <x:c r="F34" s="205"/>
      <x:c r="G34" s="205"/>
      <x:c r="H34" s="205" t="s">
        <x:v>1586</x:v>
      </x:c>
      <x:c r="I34" s="205"/>
      <x:c r="J34" s="205"/>
      <x:c r="K34" s="205"/>
      <x:c r="L34" s="205"/>
      <x:c r="M34" s="205"/>
      <x:c r="N34" s="205"/>
      <x:c r="O34" s="205"/>
      <x:c r="P34" s="146">
        <x:v>44483</x:v>
      </x:c>
      <x:c r="Q34" s="146">
        <x:v>44497</x:v>
      </x:c>
      <x:c r="R34" s="207"/>
      <x:c r="S34" s="208">
        <x:v>16</x:v>
      </x:c>
      <x:c r="T34" s="208">
        <x:v>0</x:v>
      </x:c>
      <x:c r="U34" s="208">
        <x:v>9.5</x:v>
      </x:c>
      <x:c r="V34" s="208">
        <x:v>0</x:v>
      </x:c>
      <x:c r="W34" s="206"/>
      <x:c r="X34" s="206"/>
      <x:c r="Y34" s="209"/>
      <x:c r="Z34" s="210">
        <x:v>0</x:v>
      </x:c>
      <x:c r="AA34" s="208">
        <x:v>1</x:v>
      </x:c>
      <x:c r="AB34" s="147" t="s">
        <x:v>22</x:v>
      </x:c>
      <x:c r="AC34" s="211"/>
      <x:c r="AD34" s="212">
        <x:v>0</x:v>
      </x:c>
      <x:c r="AE34" s="214">
        <x:v>0</x:v>
      </x:c>
      <x:c r="AF34" s="191"/>
      <x:c r="AG34" s="192"/>
      <x:c r="AH34" s="192"/>
      <x:c r="AI34" s="192"/>
      <x:c r="AJ34" s="192"/>
      <x:c r="AK34" s="192" t="str">
        <x:f>""&amp;TEXT(AE34,"#0.00%")&amp;" "&amp;"Architecture설계"&amp;" "&amp;IF(P34="","",TEXT(P34,"M/D-"))&amp;IF(Q34="","",TEXT(Q34,"M/D"))&amp;" "</x:f>
        <x:v xml:space="preserve">0.00% Architecture설계 10/14-10/28 </x:v>
      </x:c>
      <x:c r="AL34" s="192"/>
      <x:c r="AM34" s="192"/>
      <x:c r="AN34" s="192"/>
      <x:c r="AO34" s="192"/>
      <x:c r="AP34" s="192"/>
      <x:c r="AQ34" s="192"/>
      <x:c r="AR34" s="192"/>
      <x:c r="AS34" s="192"/>
      <x:c r="AT34" s="192"/>
      <x:c r="AU34" s="192"/>
      <x:c r="AV34" s="192"/>
      <x:c r="AW34" s="192"/>
      <x:c r="AX34" s="192"/>
      <x:c r="AY34" s="192"/>
      <x:c r="AZ34" s="192"/>
      <x:c r="BA34" s="192"/>
      <x:c r="BB34" s="192"/>
      <x:c r="BC34" s="192"/>
    </x:row>
    <x:row r="35" spans="1:55" customHeight="1" outlineLevel="3">
      <x:c r="A35" s="204"/>
      <x:c r="B35" s="204"/>
      <x:c r="C35" s="204">
        <x:v>4</x:v>
      </x:c>
      <x:c r="D35" s="217" t="s">
        <x:v>891</x:v>
      </x:c>
      <x:c r="E35" s="205"/>
      <x:c r="F35" s="205"/>
      <x:c r="G35" s="205"/>
      <x:c r="H35" s="205" t="s">
        <x:v>678</x:v>
      </x:c>
      <x:c r="I35" s="205"/>
      <x:c r="J35" s="205"/>
      <x:c r="K35" s="205"/>
      <x:c r="L35" s="205"/>
      <x:c r="M35" s="205"/>
      <x:c r="N35" s="205"/>
      <x:c r="O35" s="205"/>
      <x:c r="P35" s="146">
        <x:v>44483</x:v>
      </x:c>
      <x:c r="Q35" s="146">
        <x:v>44497</x:v>
      </x:c>
      <x:c r="R35" s="207"/>
      <x:c r="S35" s="208">
        <x:v>16</x:v>
      </x:c>
      <x:c r="T35" s="208">
        <x:v>0</x:v>
      </x:c>
      <x:c r="U35" s="208">
        <x:v>9.5</x:v>
      </x:c>
      <x:c r="V35" s="208">
        <x:v>0</x:v>
      </x:c>
      <x:c r="W35" s="206"/>
      <x:c r="X35" s="206"/>
      <x:c r="Y35" s="209"/>
      <x:c r="Z35" s="210">
        <x:v>0</x:v>
      </x:c>
      <x:c r="AA35" s="208">
        <x:v>1</x:v>
      </x:c>
      <x:c r="AB35" s="147" t="s">
        <x:v>22</x:v>
      </x:c>
      <x:c r="AC35" s="211"/>
      <x:c r="AD35" s="212">
        <x:v>0</x:v>
      </x:c>
      <x:c r="AE35" s="214">
        <x:v>0</x:v>
      </x:c>
      <x:c r="AF35" s="191"/>
      <x:c r="AG35" s="192"/>
      <x:c r="AH35" s="192"/>
      <x:c r="AI35" s="192"/>
      <x:c r="AJ35" s="192"/>
      <x:c r="AK35" s="192"/>
      <x:c r="AL35" s="192" t="str">
        <x:f>""&amp;TEXT(AE35,"#0.00%")&amp;" "&amp;"데이터베이스설계"&amp;" "&amp;IF(P35="","",TEXT(P35,"M/D-"))&amp;IF(Q35="","",TEXT(Q35,"M/D"))&amp;" "</x:f>
        <x:v xml:space="preserve">0.00% 데이터베이스설계 10/14-10/28 </x:v>
      </x:c>
      <x:c r="AM35" s="192"/>
      <x:c r="AN35" s="192"/>
      <x:c r="AO35" s="192"/>
      <x:c r="AP35" s="192"/>
      <x:c r="AQ35" s="192"/>
      <x:c r="AR35" s="192"/>
      <x:c r="AS35" s="192"/>
      <x:c r="AT35" s="192"/>
      <x:c r="AU35" s="192"/>
      <x:c r="AV35" s="192"/>
      <x:c r="AW35" s="192"/>
      <x:c r="AX35" s="192"/>
      <x:c r="AY35" s="192"/>
      <x:c r="AZ35" s="192"/>
      <x:c r="BA35" s="192"/>
      <x:c r="BB35" s="192"/>
      <x:c r="BC35" s="192"/>
    </x:row>
    <x:row r="36" spans="1:55" customHeight="1" outlineLevel="2">
      <x:c r="A36" s="204"/>
      <x:c r="B36" s="204"/>
      <x:c r="C36" s="204">
        <x:v>3</x:v>
      </x:c>
      <x:c r="D36" s="145" t="s">
        <x:v>912</x:v>
      </x:c>
      <x:c r="E36" s="205"/>
      <x:c r="F36" s="205"/>
      <x:c r="G36" s="205" t="s">
        <x:v>909</x:v>
      </x:c>
      <x:c r="H36" s="205"/>
      <x:c r="I36" s="205"/>
      <x:c r="J36" s="205"/>
      <x:c r="K36" s="205"/>
      <x:c r="L36" s="205"/>
      <x:c r="M36" s="205"/>
      <x:c r="N36" s="205"/>
      <x:c r="O36" s="205"/>
      <x:c r="P36" s="146">
        <x:v>44483</x:v>
      </x:c>
      <x:c r="Q36" s="146">
        <x:v>44497</x:v>
      </x:c>
      <x:c r="R36" s="207"/>
      <x:c r="S36" s="208">
        <x:v>4</x:v>
      </x:c>
      <x:c r="T36" s="208">
        <x:v>0</x:v>
      </x:c>
      <x:c r="U36" s="208">
        <x:v>10</x:v>
      </x:c>
      <x:c r="V36" s="208">
        <x:v>0</x:v>
      </x:c>
      <x:c r="W36" s="206"/>
      <x:c r="X36" s="206"/>
      <x:c r="Y36" s="209"/>
      <x:c r="Z36" s="210">
        <x:v>0</x:v>
      </x:c>
      <x:c r="AA36" s="208">
        <x:v>1</x:v>
      </x:c>
      <x:c r="AB36" s="147" t="s">
        <x:v>22</x:v>
      </x:c>
      <x:c r="AC36" s="211"/>
      <x:c r="AD36" s="212">
        <x:v>0</x:v>
      </x:c>
      <x:c r="AE36" s="214">
        <x:v>0</x:v>
      </x:c>
      <x:c r="AF36" s="191"/>
      <x:c r="AG36" s="192"/>
      <x:c r="AH36" s="192"/>
      <x:c r="AI36" s="192"/>
      <x:c r="AJ36" s="192"/>
      <x:c r="AK36" s="192"/>
      <x:c r="AL36" s="192"/>
      <x:c r="AM36" s="192"/>
      <x:c r="AN36" s="192"/>
      <x:c r="AO36" s="192" t="str">
        <x:f>""&amp;TEXT(AE36,"#0.00%")&amp;" "&amp;"테스트 설계"&amp;" "&amp;IF(P36="","",TEXT(P36,"M/D-"))&amp;IF(Q36="","",TEXT(Q36,"M/D"))&amp;" "</x:f>
        <x:v xml:space="preserve">0.00% 테스트 설계 10/14-10/28 </x:v>
      </x:c>
      <x:c r="AP36" s="192"/>
      <x:c r="AQ36" s="192"/>
      <x:c r="AR36" s="192"/>
      <x:c r="AS36" s="192"/>
      <x:c r="AT36" s="192"/>
      <x:c r="AU36" s="192"/>
      <x:c r="AV36" s="192"/>
      <x:c r="AW36" s="192"/>
      <x:c r="AX36" s="192"/>
      <x:c r="AY36" s="192"/>
      <x:c r="AZ36" s="192"/>
      <x:c r="BA36" s="192"/>
      <x:c r="BB36" s="192"/>
      <x:c r="BC36" s="192"/>
    </x:row>
    <x:row r="37" spans="1:55" customHeight="1" outlineLevel="1">
      <x:c r="A37" s="204"/>
      <x:c r="B37" s="204" t="s">
        <x:v>1539</x:v>
      </x:c>
      <x:c r="C37" s="204">
        <x:v>2</x:v>
      </x:c>
      <x:c r="D37" s="217" t="s">
        <x:v>1536</x:v>
      </x:c>
      <x:c r="E37" s="205"/>
      <x:c r="F37" s="205" t="s">
        <x:v>1520</x:v>
      </x:c>
      <x:c r="G37" s="205"/>
      <x:c r="H37" s="205"/>
      <x:c r="I37" s="205"/>
      <x:c r="J37" s="205"/>
      <x:c r="K37" s="205"/>
      <x:c r="L37" s="205"/>
      <x:c r="M37" s="205"/>
      <x:c r="N37" s="205"/>
      <x:c r="O37" s="205"/>
      <x:c r="P37" s="146">
        <x:v>44498</x:v>
      </x:c>
      <x:c r="Q37" s="146">
        <x:v>44525</x:v>
      </x:c>
      <x:c r="R37" s="207"/>
      <x:c r="S37" s="208">
        <x:v>155</x:v>
      </x:c>
      <x:c r="T37" s="208">
        <x:v>0</x:v>
      </x:c>
      <x:c r="U37" s="208">
        <x:v>46</x:v>
      </x:c>
      <x:c r="V37" s="208">
        <x:v>0</x:v>
      </x:c>
      <x:c r="W37" s="206"/>
      <x:c r="X37" s="206"/>
      <x:c r="Y37" s="209">
        <x:v>0</x:v>
      </x:c>
      <x:c r="Z37" s="210">
        <x:v>0</x:v>
      </x:c>
      <x:c r="AA37" s="208"/>
      <x:c r="AB37" s="147" t="s">
        <x:v>22</x:v>
      </x:c>
      <x:c r="AC37" s="211"/>
      <x:c r="AD37" s="212">
        <x:v>0</x:v>
      </x:c>
      <x:c r="AE37" s="222">
        <x:v>0</x:v>
      </x:c>
      <x:c r="AF37" s="191"/>
      <x:c r="AG37" s="192"/>
      <x:c r="AH37" s="192"/>
      <x:c r="AI37" s="192"/>
      <x:c r="AJ37" s="192"/>
      <x:c r="AK37" s="192"/>
      <x:c r="AL37" s="192"/>
      <x:c r="AM37" s="192"/>
      <x:c r="AN37" s="192"/>
      <x:c r="AO37" s="192" t="str">
        <x:f>""&amp;TEXT(AE37,"#0.00%")&amp;" "</x:f>
        <x:v xml:space="preserve">0.00% </x:v>
      </x:c>
      <x:c r="AP37" s="192"/>
      <x:c r="AQ37" s="192"/>
      <x:c r="AR37" s="192"/>
      <x:c r="AS37" s="192"/>
      <x:c r="AT37" s="192"/>
      <x:c r="AU37" s="192"/>
      <x:c r="AV37" s="192"/>
      <x:c r="AW37" s="192"/>
      <x:c r="AX37" s="192" t="str">
        <x:f>"     "&amp;"개발"&amp;" "&amp;IF(P37="","",TEXT(P37,"M/D-"))&amp;IF(Q37="","",TEXT(Q37,"M/D"))&amp;" "</x:f>
        <x:v xml:space="preserve">     개발 10/29-11/25 </x:v>
      </x:c>
      <x:c r="AY37" s="192"/>
      <x:c r="AZ37" s="192"/>
      <x:c r="BA37" s="192"/>
      <x:c r="BB37" s="192"/>
      <x:c r="BC37" s="192"/>
    </x:row>
    <x:row r="38" spans="1:55" customHeight="1" outlineLevel="2">
      <x:c r="A38" s="204"/>
      <x:c r="B38" s="204" t="s">
        <x:v>1539</x:v>
      </x:c>
      <x:c r="C38" s="204">
        <x:v>3</x:v>
      </x:c>
      <x:c r="D38" s="217" t="s">
        <x:v>907</x:v>
      </x:c>
      <x:c r="E38" s="205"/>
      <x:c r="F38" s="205"/>
      <x:c r="G38" s="205" t="s">
        <x:v>892</x:v>
      </x:c>
      <x:c r="H38" s="205"/>
      <x:c r="I38" s="205"/>
      <x:c r="J38" s="205"/>
      <x:c r="K38" s="205"/>
      <x:c r="L38" s="205"/>
      <x:c r="M38" s="205"/>
      <x:c r="N38" s="205"/>
      <x:c r="O38" s="205"/>
      <x:c r="P38" s="146">
        <x:v>44498</x:v>
      </x:c>
      <x:c r="Q38" s="146">
        <x:v>44525</x:v>
      </x:c>
      <x:c r="R38" s="207"/>
      <x:c r="S38" s="208">
        <x:v>140</x:v>
      </x:c>
      <x:c r="T38" s="208">
        <x:v>0</x:v>
      </x:c>
      <x:c r="U38" s="208">
        <x:v>43</x:v>
      </x:c>
      <x:c r="V38" s="208">
        <x:v>0</x:v>
      </x:c>
      <x:c r="W38" s="206"/>
      <x:c r="X38" s="206"/>
      <x:c r="Y38" s="209">
        <x:v>0</x:v>
      </x:c>
      <x:c r="Z38" s="210">
        <x:v>0</x:v>
      </x:c>
      <x:c r="AA38" s="208"/>
      <x:c r="AB38" s="147" t="s">
        <x:v>22</x:v>
      </x:c>
      <x:c r="AC38" s="211"/>
      <x:c r="AD38" s="212">
        <x:v>0</x:v>
      </x:c>
      <x:c r="AE38" s="222">
        <x:v>0</x:v>
      </x:c>
      <x:c r="AF38" s="191"/>
      <x:c r="AG38" s="192"/>
      <x:c r="AH38" s="192"/>
      <x:c r="AI38" s="192"/>
      <x:c r="AJ38" s="192"/>
      <x:c r="AK38" s="192"/>
      <x:c r="AL38" s="192"/>
      <x:c r="AM38" s="192"/>
      <x:c r="AN38" s="192"/>
      <x:c r="AO38" s="192" t="str">
        <x:f>""&amp;TEXT(AE38,"#0.00%")&amp;" "</x:f>
        <x:v xml:space="preserve">0.00% </x:v>
      </x:c>
      <x:c r="AP38" s="192"/>
      <x:c r="AQ38" s="192"/>
      <x:c r="AR38" s="192"/>
      <x:c r="AS38" s="192"/>
      <x:c r="AT38" s="192"/>
      <x:c r="AU38" s="192"/>
      <x:c r="AV38" s="192"/>
      <x:c r="AW38" s="192" t="str">
        <x:f>"    "&amp;"프로그램 개발"&amp;" "&amp;IF(P38="","",TEXT(P38,"M/D-"))&amp;IF(Q38="","",TEXT(Q38,"M/D"))&amp;" "</x:f>
        <x:v xml:space="preserve">    프로그램 개발 10/29-11/25 </x:v>
      </x:c>
      <x:c r="AX38" s="192"/>
      <x:c r="AY38" s="192"/>
      <x:c r="AZ38" s="192"/>
      <x:c r="BA38" s="192"/>
      <x:c r="BB38" s="192"/>
      <x:c r="BC38" s="192"/>
    </x:row>
    <x:row r="39" spans="1:55" customHeight="1" outlineLevel="3">
      <x:c r="A39" s="204"/>
      <x:c r="B39" s="204"/>
      <x:c r="C39" s="204">
        <x:v>4</x:v>
      </x:c>
      <x:c r="D39" s="217" t="s">
        <x:v>908</x:v>
      </x:c>
      <x:c r="E39" s="205"/>
      <x:c r="F39" s="205"/>
      <x:c r="G39" s="205"/>
      <x:c r="H39" s="205" t="s">
        <x:v>946</x:v>
      </x:c>
      <x:c r="I39" s="205"/>
      <x:c r="J39" s="205"/>
      <x:c r="K39" s="205"/>
      <x:c r="L39" s="205"/>
      <x:c r="M39" s="205"/>
      <x:c r="N39" s="205"/>
      <x:c r="O39" s="205"/>
      <x:c r="P39" s="146">
        <x:v>44498</x:v>
      </x:c>
      <x:c r="Q39" s="206">
        <x:v>44504</x:v>
      </x:c>
      <x:c r="R39" s="207"/>
      <x:c r="S39" s="208">
        <x:v>4</x:v>
      </x:c>
      <x:c r="T39" s="208">
        <x:v>0</x:v>
      </x:c>
      <x:c r="U39" s="208">
        <x:v>4</x:v>
      </x:c>
      <x:c r="V39" s="208">
        <x:v>0</x:v>
      </x:c>
      <x:c r="W39" s="206"/>
      <x:c r="X39" s="206"/>
      <x:c r="Y39" s="209"/>
      <x:c r="Z39" s="210">
        <x:v>0</x:v>
      </x:c>
      <x:c r="AA39" s="208">
        <x:v>1</x:v>
      </x:c>
      <x:c r="AB39" s="147" t="s">
        <x:v>22</x:v>
      </x:c>
      <x:c r="AC39" s="211"/>
      <x:c r="AD39" s="212">
        <x:v>0</x:v>
      </x:c>
      <x:c r="AE39" s="214">
        <x:v>0</x:v>
      </x:c>
      <x:c r="AF39" s="191"/>
      <x:c r="AG39" s="192"/>
      <x:c r="AH39" s="192"/>
      <x:c r="AI39" s="192"/>
      <x:c r="AJ39" s="192"/>
      <x:c r="AK39" s="192"/>
      <x:c r="AL39" s="192"/>
      <x:c r="AM39" s="192"/>
      <x:c r="AN39" s="192"/>
      <x:c r="AO39" s="192" t="str">
        <x:f>""&amp;TEXT(AE39,"#0.00%")&amp;" "&amp;"단위테스트시나리오작성"&amp;" "&amp;IF(P39="","",TEXT(P39,"M/D-"))&amp;IF(Q39="","",TEXT(Q39,"M/D"))&amp;" "</x:f>
        <x:v xml:space="preserve">0.00% 단위테스트시나리오작성 10/29-11/4 </x:v>
      </x:c>
      <x:c r="AP39" s="192"/>
      <x:c r="AQ39" s="192"/>
      <x:c r="AR39" s="192"/>
      <x:c r="AS39" s="192"/>
      <x:c r="AT39" s="192"/>
      <x:c r="AU39" s="192"/>
      <x:c r="AV39" s="192"/>
      <x:c r="AW39" s="192"/>
      <x:c r="AX39" s="192"/>
      <x:c r="AY39" s="192"/>
      <x:c r="AZ39" s="192"/>
      <x:c r="BA39" s="192"/>
      <x:c r="BB39" s="192"/>
      <x:c r="BC39" s="192"/>
    </x:row>
    <x:row r="40" spans="1:55" customHeight="1" outlineLevel="3">
      <x:c r="A40" s="204"/>
      <x:c r="B40" s="204" t="s">
        <x:v>1539</x:v>
      </x:c>
      <x:c r="C40" s="204">
        <x:v>4</x:v>
      </x:c>
      <x:c r="D40" s="217" t="s">
        <x:v>917</x:v>
      </x:c>
      <x:c r="E40" s="205"/>
      <x:c r="F40" s="205"/>
      <x:c r="G40" s="205"/>
      <x:c r="H40" s="205" t="s">
        <x:v>89</x:v>
      </x:c>
      <x:c r="I40" s="205"/>
      <x:c r="J40" s="205"/>
      <x:c r="K40" s="205"/>
      <x:c r="L40" s="205"/>
      <x:c r="M40" s="205"/>
      <x:c r="N40" s="205"/>
      <x:c r="O40" s="205"/>
      <x:c r="P40" s="206">
        <x:v>44498</x:v>
      </x:c>
      <x:c r="Q40" s="206">
        <x:v>44525</x:v>
      </x:c>
      <x:c r="R40" s="207"/>
      <x:c r="S40" s="208">
        <x:v>136</x:v>
      </x:c>
      <x:c r="T40" s="208">
        <x:v>0</x:v>
      </x:c>
      <x:c r="U40" s="208">
        <x:v>43</x:v>
      </x:c>
      <x:c r="V40" s="208">
        <x:v>0</x:v>
      </x:c>
      <x:c r="W40" s="206"/>
      <x:c r="X40" s="206"/>
      <x:c r="Y40" s="209">
        <x:v>0</x:v>
      </x:c>
      <x:c r="Z40" s="210">
        <x:v>0</x:v>
      </x:c>
      <x:c r="AA40" s="208"/>
      <x:c r="AB40" s="147" t="s">
        <x:v>22</x:v>
      </x:c>
      <x:c r="AC40" s="211"/>
      <x:c r="AD40" s="212">
        <x:v>0</x:v>
      </x:c>
      <x:c r="AE40" s="222">
        <x:v>0</x:v>
      </x:c>
      <x:c r="AF40" s="191"/>
      <x:c r="AG40" s="192"/>
      <x:c r="AH40" s="192"/>
      <x:c r="AI40" s="192"/>
      <x:c r="AJ40" s="192"/>
      <x:c r="AK40" s="192"/>
      <x:c r="AL40" s="192"/>
      <x:c r="AM40" s="192"/>
      <x:c r="AN40" s="192"/>
      <x:c r="AO40" s="192" t="str">
        <x:f>""&amp;TEXT(AE40,"#0.00%")&amp;" "</x:f>
        <x:v xml:space="preserve">0.00% </x:v>
      </x:c>
      <x:c r="AP40" s="192"/>
      <x:c r="AQ40" s="192"/>
      <x:c r="AR40" s="192"/>
      <x:c r="AS40" s="192"/>
      <x:c r="AT40" s="192"/>
      <x:c r="AU40" s="192"/>
      <x:c r="AV40" s="192"/>
      <x:c r="AW40" s="192" t="str">
        <x:f>"    "&amp;"프로그램코딩 및 단위테스트"&amp;" "&amp;IF(P40="","",TEXT(P40,"M/D-"))&amp;IF(Q40="","",TEXT(Q40,"M/D"))&amp;" "</x:f>
        <x:v xml:space="preserve">    프로그램코딩 및 단위테스트 10/29-11/25 </x:v>
      </x:c>
      <x:c r="AX40" s="192"/>
      <x:c r="AY40" s="192"/>
      <x:c r="AZ40" s="192"/>
      <x:c r="BA40" s="192"/>
      <x:c r="BB40" s="192"/>
      <x:c r="BC40" s="192"/>
    </x:row>
    <x:row r="41" spans="1:55" s="143" customFormat="1" customHeight="1" outlineLevel="3">
      <x:c r="A41" s="144"/>
      <x:c r="B41" s="144"/>
      <x:c r="C41" s="144"/>
      <x:c r="D41" s="145" t="s">
        <x:v>942</x:v>
      </x:c>
      <x:c r="E41" s="145"/>
      <x:c r="F41" s="145"/>
      <x:c r="G41" s="145"/>
      <x:c r="H41" s="145"/>
      <x:c r="I41" s="145" t="s">
        <x:v>1571</x:v>
      </x:c>
      <x:c r="J41" s="145"/>
      <x:c r="K41" s="145"/>
      <x:c r="L41" s="145"/>
      <x:c r="M41" s="145"/>
      <x:c r="N41" s="145"/>
      <x:c r="O41" s="145"/>
      <x:c r="P41" s="146">
        <x:v>44498</x:v>
      </x:c>
      <x:c r="Q41" s="146">
        <x:v>44525</x:v>
      </x:c>
      <x:c r="R41" s="147"/>
      <x:c r="S41" s="148">
        <x:v>68</x:v>
      </x:c>
      <x:c r="T41" s="148">
        <x:v>0</x:v>
      </x:c>
      <x:c r="U41" s="148">
        <x:v>12.5</x:v>
      </x:c>
      <x:c r="V41" s="148">
        <x:v>0</x:v>
      </x:c>
      <x:c r="W41" s="146"/>
      <x:c r="X41" s="146"/>
      <x:c r="Y41" s="149"/>
      <x:c r="Z41" s="150"/>
      <x:c r="AA41" s="148"/>
      <x:c r="AB41" s="147" t="s">
        <x:v>22</x:v>
      </x:c>
      <x:c r="AC41" s="151"/>
      <x:c r="AD41" s="212">
        <x:v>0</x:v>
      </x:c>
      <x:c r="AE41" s="214">
        <x:v>0</x:v>
      </x:c>
      <x:c r="AF41" s="191"/>
      <x:c r="AG41" s="192"/>
      <x:c r="AH41" s="192"/>
      <x:c r="AI41" s="192"/>
      <x:c r="AJ41" s="192"/>
      <x:c r="AK41" s="192"/>
      <x:c r="AL41" s="192"/>
      <x:c r="AM41" s="192"/>
      <x:c r="AN41" s="192"/>
      <x:c r="AO41" s="192"/>
      <x:c r="AP41" s="192"/>
      <x:c r="AQ41" s="192"/>
      <x:c r="AR41" s="192"/>
      <x:c r="AS41" s="192"/>
      <x:c r="AT41" s="192"/>
      <x:c r="AU41" s="192"/>
      <x:c r="AV41" s="192"/>
      <x:c r="AW41" s="192"/>
      <x:c r="AX41" s="192"/>
      <x:c r="AY41" s="192"/>
      <x:c r="AZ41" s="192"/>
      <x:c r="BA41" s="192"/>
      <x:c r="BB41" s="192"/>
      <x:c r="BC41" s="192"/>
    </x:row>
    <x:row r="42" spans="1:55" s="143" customFormat="1" customHeight="1" outlineLevel="3">
      <x:c r="A42" s="144"/>
      <x:c r="B42" s="144"/>
      <x:c r="C42" s="144"/>
      <x:c r="D42" s="145" t="s">
        <x:v>950</x:v>
      </x:c>
      <x:c r="E42" s="145"/>
      <x:c r="F42" s="145"/>
      <x:c r="G42" s="145"/>
      <x:c r="H42" s="145"/>
      <x:c r="I42" s="145" t="s">
        <x:v>1565</x:v>
      </x:c>
      <x:c r="J42" s="145"/>
      <x:c r="K42" s="145"/>
      <x:c r="L42" s="145"/>
      <x:c r="M42" s="145"/>
      <x:c r="N42" s="145"/>
      <x:c r="O42" s="145"/>
      <x:c r="P42" s="146">
        <x:v>44498</x:v>
      </x:c>
      <x:c r="Q42" s="146">
        <x:v>44525</x:v>
      </x:c>
      <x:c r="R42" s="147"/>
      <x:c r="S42" s="148">
        <x:v>68</x:v>
      </x:c>
      <x:c r="T42" s="148">
        <x:v>0</x:v>
      </x:c>
      <x:c r="U42" s="148">
        <x:v>12.5</x:v>
      </x:c>
      <x:c r="V42" s="148">
        <x:v>0</x:v>
      </x:c>
      <x:c r="W42" s="146"/>
      <x:c r="X42" s="146"/>
      <x:c r="Y42" s="149"/>
      <x:c r="Z42" s="150"/>
      <x:c r="AA42" s="148"/>
      <x:c r="AB42" s="147" t="s">
        <x:v>22</x:v>
      </x:c>
      <x:c r="AC42" s="151"/>
      <x:c r="AD42" s="212">
        <x:v>0</x:v>
      </x:c>
      <x:c r="AE42" s="214">
        <x:v>0</x:v>
      </x:c>
      <x:c r="AF42" s="191"/>
      <x:c r="AG42" s="192"/>
      <x:c r="AH42" s="192"/>
      <x:c r="AI42" s="192"/>
      <x:c r="AJ42" s="192"/>
      <x:c r="AK42" s="192"/>
      <x:c r="AL42" s="192"/>
      <x:c r="AM42" s="192"/>
      <x:c r="AN42" s="192"/>
      <x:c r="AO42" s="192"/>
      <x:c r="AP42" s="192"/>
      <x:c r="AQ42" s="192"/>
      <x:c r="AR42" s="192"/>
      <x:c r="AS42" s="192"/>
      <x:c r="AT42" s="192"/>
      <x:c r="AU42" s="192"/>
      <x:c r="AV42" s="192"/>
      <x:c r="AW42" s="192"/>
      <x:c r="AX42" s="192"/>
      <x:c r="AY42" s="192"/>
      <x:c r="AZ42" s="192"/>
      <x:c r="BA42" s="192"/>
      <x:c r="BB42" s="192"/>
      <x:c r="BC42" s="192"/>
    </x:row>
    <x:row r="43" spans="1:55" customHeight="1" outlineLevel="2">
      <x:c r="A43" s="204"/>
      <x:c r="B43" s="204" t="s">
        <x:v>1539</x:v>
      </x:c>
      <x:c r="C43" s="204">
        <x:v>3</x:v>
      </x:c>
      <x:c r="D43" s="217" t="s">
        <x:v>915</x:v>
      </x:c>
      <x:c r="E43" s="205"/>
      <x:c r="F43" s="205"/>
      <x:c r="G43" s="205" t="s">
        <x:v>901</x:v>
      </x:c>
      <x:c r="H43" s="205"/>
      <x:c r="I43" s="205"/>
      <x:c r="J43" s="205"/>
      <x:c r="K43" s="205"/>
      <x:c r="L43" s="205"/>
      <x:c r="M43" s="205"/>
      <x:c r="N43" s="205"/>
      <x:c r="O43" s="205"/>
      <x:c r="P43" s="206">
        <x:v>44519</x:v>
      </x:c>
      <x:c r="Q43" s="146">
        <x:v>44525</x:v>
      </x:c>
      <x:c r="R43" s="207"/>
      <x:c r="S43" s="208">
        <x:v>15</x:v>
      </x:c>
      <x:c r="T43" s="208">
        <x:v>0</x:v>
      </x:c>
      <x:c r="U43" s="208">
        <x:v>16</x:v>
      </x:c>
      <x:c r="V43" s="208">
        <x:v>0</x:v>
      </x:c>
      <x:c r="W43" s="206"/>
      <x:c r="X43" s="206"/>
      <x:c r="Y43" s="209">
        <x:v>0</x:v>
      </x:c>
      <x:c r="Z43" s="210">
        <x:v>0</x:v>
      </x:c>
      <x:c r="AA43" s="208"/>
      <x:c r="AB43" s="147" t="s">
        <x:v>22</x:v>
      </x:c>
      <x:c r="AC43" s="211"/>
      <x:c r="AD43" s="212">
        <x:v>0</x:v>
      </x:c>
      <x:c r="AE43" s="222">
        <x:v>0</x:v>
      </x:c>
      <x:c r="AF43" s="191"/>
      <x:c r="AG43" s="192"/>
      <x:c r="AH43" s="192"/>
      <x:c r="AI43" s="192"/>
      <x:c r="AJ43" s="192"/>
      <x:c r="AK43" s="192"/>
      <x:c r="AL43" s="192"/>
      <x:c r="AM43" s="192"/>
      <x:c r="AN43" s="192"/>
      <x:c r="AO43" s="192"/>
      <x:c r="AP43" s="192"/>
      <x:c r="AQ43" s="192"/>
      <x:c r="AR43" s="192"/>
      <x:c r="AS43" s="192"/>
      <x:c r="AT43" s="192"/>
      <x:c r="AU43" s="192" t="str">
        <x:f>""&amp;TEXT(AE43,"#0.00%")&amp;" "</x:f>
        <x:v xml:space="preserve">0.00% </x:v>
      </x:c>
      <x:c r="AV43" s="192"/>
      <x:c r="AW43" s="192"/>
      <x:c r="AX43" s="192" t="str">
        <x:f>"     "&amp;"테스트실시"&amp;" "&amp;IF(P43="","",TEXT(P43,"M/D-"))&amp;IF(Q43="","",TEXT(Q43,"M/D"))&amp;" "</x:f>
        <x:v xml:space="preserve">     테스트실시 11/19-11/25 </x:v>
      </x:c>
      <x:c r="AY43" s="192"/>
      <x:c r="AZ43" s="192"/>
      <x:c r="BA43" s="192"/>
      <x:c r="BB43" s="192"/>
      <x:c r="BC43" s="192"/>
    </x:row>
    <x:row r="44" spans="1:55" customHeight="1" outlineLevel="3">
      <x:c r="A44" s="204"/>
      <x:c r="B44" s="204"/>
      <x:c r="C44" s="204">
        <x:v>4</x:v>
      </x:c>
      <x:c r="D44" s="217" t="s">
        <x:v>916</x:v>
      </x:c>
      <x:c r="E44" s="205"/>
      <x:c r="F44" s="205"/>
      <x:c r="G44" s="205"/>
      <x:c r="H44" s="205" t="s">
        <x:v>896</x:v>
      </x:c>
      <x:c r="I44" s="205"/>
      <x:c r="J44" s="205"/>
      <x:c r="K44" s="205"/>
      <x:c r="L44" s="205"/>
      <x:c r="M44" s="205"/>
      <x:c r="N44" s="205"/>
      <x:c r="O44" s="205"/>
      <x:c r="P44" s="206">
        <x:v>44519</x:v>
      </x:c>
      <x:c r="Q44" s="206">
        <x:v>44525</x:v>
      </x:c>
      <x:c r="R44" s="207"/>
      <x:c r="S44" s="208">
        <x:v>14</x:v>
      </x:c>
      <x:c r="T44" s="208">
        <x:v>0</x:v>
      </x:c>
      <x:c r="U44" s="208">
        <x:v>14</x:v>
      </x:c>
      <x:c r="V44" s="208">
        <x:v>0</x:v>
      </x:c>
      <x:c r="W44" s="206"/>
      <x:c r="X44" s="206"/>
      <x:c r="Y44" s="209"/>
      <x:c r="Z44" s="210">
        <x:v>0</x:v>
      </x:c>
      <x:c r="AA44" s="208">
        <x:v>1</x:v>
      </x:c>
      <x:c r="AB44" s="147" t="s">
        <x:v>22</x:v>
      </x:c>
      <x:c r="AC44" s="211"/>
      <x:c r="AD44" s="212">
        <x:v>0</x:v>
      </x:c>
      <x:c r="AE44" s="214">
        <x:v>0</x:v>
      </x:c>
      <x:c r="AF44" s="191"/>
      <x:c r="AG44" s="192"/>
      <x:c r="AH44" s="192"/>
      <x:c r="AI44" s="192"/>
      <x:c r="AJ44" s="192"/>
      <x:c r="AK44" s="192"/>
      <x:c r="AL44" s="192"/>
      <x:c r="AM44" s="192"/>
      <x:c r="AN44" s="192"/>
      <x:c r="AO44" s="192"/>
      <x:c r="AP44" s="192"/>
      <x:c r="AQ44" s="192"/>
      <x:c r="AR44" s="192"/>
      <x:c r="AS44" s="192"/>
      <x:c r="AT44" s="192"/>
      <x:c r="AU44" s="192" t="str">
        <x:f>""&amp;TEXT(AE44,"#0.00%")&amp;" "&amp;"통합테스트실시"&amp;" "&amp;IF(P44="","",TEXT(P44,"M/D-"))&amp;IF(Q44="","",TEXT(Q44,"M/D"))&amp;" "</x:f>
        <x:v xml:space="preserve">0.00% 통합테스트실시 11/19-11/25 </x:v>
      </x:c>
      <x:c r="AV44" s="192"/>
      <x:c r="AW44" s="192"/>
      <x:c r="AX44" s="192"/>
      <x:c r="AY44" s="192"/>
      <x:c r="AZ44" s="192"/>
      <x:c r="BA44" s="192"/>
      <x:c r="BB44" s="192"/>
      <x:c r="BC44" s="192"/>
    </x:row>
    <x:row r="45" spans="1:55" customHeight="1" outlineLevel="2">
      <x:c r="A45" s="204"/>
      <x:c r="B45" s="204" t="s">
        <x:v>1539</x:v>
      </x:c>
      <x:c r="C45" s="204">
        <x:v>3</x:v>
      </x:c>
      <x:c r="D45" s="217" t="s">
        <x:v>923</x:v>
      </x:c>
      <x:c r="E45" s="205"/>
      <x:c r="F45" s="205"/>
      <x:c r="G45" s="205" t="s">
        <x:v>12</x:v>
      </x:c>
      <x:c r="H45" s="205"/>
      <x:c r="I45" s="205"/>
      <x:c r="J45" s="205"/>
      <x:c r="K45" s="205"/>
      <x:c r="L45" s="205"/>
      <x:c r="M45" s="205"/>
      <x:c r="N45" s="205"/>
      <x:c r="O45" s="205"/>
      <x:c r="P45" s="206">
        <x:v>44526</x:v>
      </x:c>
      <x:c r="Q45" s="206">
        <x:v>44546</x:v>
      </x:c>
      <x:c r="R45" s="207"/>
      <x:c r="S45" s="208">
        <x:v>6</x:v>
      </x:c>
      <x:c r="T45" s="208">
        <x:v>0</x:v>
      </x:c>
      <x:c r="U45" s="208">
        <x:v>2</x:v>
      </x:c>
      <x:c r="V45" s="208">
        <x:v>0</x:v>
      </x:c>
      <x:c r="W45" s="206"/>
      <x:c r="X45" s="206"/>
      <x:c r="Y45" s="209">
        <x:v>0</x:v>
      </x:c>
      <x:c r="Z45" s="210">
        <x:v>0</x:v>
      </x:c>
      <x:c r="AA45" s="208"/>
      <x:c r="AB45" s="147" t="s">
        <x:v>22</x:v>
      </x:c>
      <x:c r="AC45" s="211"/>
      <x:c r="AD45" s="212">
        <x:v>0</x:v>
      </x:c>
      <x:c r="AE45" s="222">
        <x:v>0</x:v>
      </x:c>
      <x:c r="AF45" s="191"/>
      <x:c r="AG45" s="192"/>
      <x:c r="AH45" s="192"/>
      <x:c r="AI45" s="192"/>
      <x:c r="AJ45" s="192"/>
      <x:c r="AK45" s="192"/>
      <x:c r="AL45" s="192"/>
      <x:c r="AM45" s="192"/>
      <x:c r="AN45" s="192"/>
      <x:c r="AO45" s="192"/>
      <x:c r="AP45" s="192"/>
      <x:c r="AQ45" s="192"/>
      <x:c r="AR45" s="192"/>
      <x:c r="AS45" s="192"/>
      <x:c r="AT45" s="192"/>
      <x:c r="AU45" s="192"/>
      <x:c r="AV45" s="192"/>
      <x:c r="AW45" s="192"/>
      <x:c r="AX45" s="192" t="str">
        <x:f>"    "&amp;TEXT(AE45,"#0.00%")&amp;" "&amp;"Conversion 및 Release"&amp;" "&amp;IF(P45="","",TEXT(P45,"M/D-"))&amp;IF(Q45="","",TEXT(Q45,"M/D"))&amp;" "</x:f>
        <x:v xml:space="preserve">    0.00% Conversion 및 Release 11/26-12/16 </x:v>
      </x:c>
      <x:c r="AY45" s="192"/>
      <x:c r="AZ45" s="192"/>
      <x:c r="BA45" s="192"/>
      <x:c r="BB45" s="192"/>
      <x:c r="BC45" s="192"/>
    </x:row>
    <x:row r="46" spans="1:55" customHeight="1" outlineLevel="3">
      <x:c r="A46" s="204"/>
      <x:c r="B46" s="204"/>
      <x:c r="C46" s="204">
        <x:v>4</x:v>
      </x:c>
      <x:c r="D46" s="217" t="s">
        <x:v>931</x:v>
      </x:c>
      <x:c r="E46" s="205"/>
      <x:c r="F46" s="205"/>
      <x:c r="G46" s="205"/>
      <x:c r="H46" s="205" t="s">
        <x:v>1580</x:v>
      </x:c>
      <x:c r="I46" s="205"/>
      <x:c r="J46" s="205"/>
      <x:c r="K46" s="205"/>
      <x:c r="L46" s="205"/>
      <x:c r="M46" s="205"/>
      <x:c r="N46" s="205"/>
      <x:c r="O46" s="205"/>
      <x:c r="P46" s="206">
        <x:v>44526</x:v>
      </x:c>
      <x:c r="Q46" s="206">
        <x:v>44539</x:v>
      </x:c>
      <x:c r="R46" s="207"/>
      <x:c r="S46" s="208">
        <x:v>2</x:v>
      </x:c>
      <x:c r="T46" s="208">
        <x:v>0</x:v>
      </x:c>
      <x:c r="U46" s="208">
        <x:v>1</x:v>
      </x:c>
      <x:c r="V46" s="208">
        <x:v>0</x:v>
      </x:c>
      <x:c r="W46" s="206"/>
      <x:c r="X46" s="206"/>
      <x:c r="Y46" s="209"/>
      <x:c r="Z46" s="210">
        <x:v>0</x:v>
      </x:c>
      <x:c r="AA46" s="208">
        <x:v>1</x:v>
      </x:c>
      <x:c r="AB46" s="147" t="s">
        <x:v>22</x:v>
      </x:c>
      <x:c r="AC46" s="211"/>
      <x:c r="AD46" s="212">
        <x:v>0</x:v>
      </x:c>
      <x:c r="AE46" s="214">
        <x:v>0</x:v>
      </x:c>
      <x:c r="AF46" s="191"/>
      <x:c r="AG46" s="192"/>
      <x:c r="AH46" s="192"/>
      <x:c r="AI46" s="192"/>
      <x:c r="AJ46" s="192"/>
      <x:c r="AK46" s="192"/>
      <x:c r="AL46" s="192"/>
      <x:c r="AM46" s="192"/>
      <x:c r="AN46" s="192"/>
      <x:c r="AO46" s="192"/>
      <x:c r="AP46" s="192"/>
      <x:c r="AQ46" s="192"/>
      <x:c r="AR46" s="192"/>
      <x:c r="AS46" s="192"/>
      <x:c r="AT46" s="192"/>
      <x:c r="AU46" s="192"/>
      <x:c r="AV46" s="192"/>
      <x:c r="AW46" s="192"/>
      <x:c r="AX46" s="192" t="str">
        <x:f>"    "&amp;TEXT(AE46,"#0.00%")&amp;" "&amp;"데이터베이스구축"&amp;" "&amp;IF(P46="","",TEXT(P46,"M/D-"))&amp;IF(Q46="","",TEXT(Q46,"M/D"))&amp;" "</x:f>
        <x:v xml:space="preserve">    0.00% 데이터베이스구축 11/26-12/9 </x:v>
      </x:c>
      <x:c r="AY46" s="192"/>
      <x:c r="AZ46" s="192"/>
      <x:c r="BA46" s="192"/>
      <x:c r="BB46" s="192"/>
      <x:c r="BC46" s="192"/>
    </x:row>
    <x:row r="47" spans="1:55" customHeight="1" outlineLevel="3">
      <x:c r="A47" s="204"/>
      <x:c r="B47" s="204"/>
      <x:c r="C47" s="204">
        <x:v>4</x:v>
      </x:c>
      <x:c r="D47" s="217" t="s">
        <x:v>939</x:v>
      </x:c>
      <x:c r="E47" s="205"/>
      <x:c r="F47" s="205"/>
      <x:c r="G47" s="205"/>
      <x:c r="H47" s="205" t="s">
        <x:v>1582</x:v>
      </x:c>
      <x:c r="I47" s="205"/>
      <x:c r="J47" s="205"/>
      <x:c r="K47" s="205"/>
      <x:c r="L47" s="205"/>
      <x:c r="M47" s="205"/>
      <x:c r="N47" s="205"/>
      <x:c r="O47" s="205"/>
      <x:c r="P47" s="206">
        <x:v>44539</x:v>
      </x:c>
      <x:c r="Q47" s="146">
        <x:v>44546</x:v>
      </x:c>
      <x:c r="R47" s="207"/>
      <x:c r="S47" s="208">
        <x:v>2</x:v>
      </x:c>
      <x:c r="T47" s="208">
        <x:v>0</x:v>
      </x:c>
      <x:c r="U47" s="208">
        <x:v>1</x:v>
      </x:c>
      <x:c r="V47" s="208">
        <x:v>0</x:v>
      </x:c>
      <x:c r="W47" s="206"/>
      <x:c r="X47" s="206"/>
      <x:c r="Y47" s="209"/>
      <x:c r="Z47" s="210">
        <x:v>0</x:v>
      </x:c>
      <x:c r="AA47" s="208">
        <x:v>1</x:v>
      </x:c>
      <x:c r="AB47" s="147" t="s">
        <x:v>22</x:v>
      </x:c>
      <x:c r="AC47" s="211"/>
      <x:c r="AD47" s="212">
        <x:v>0</x:v>
      </x:c>
      <x:c r="AE47" s="214">
        <x:v>0</x:v>
      </x:c>
      <x:c r="AF47" s="191"/>
      <x:c r="AG47" s="192"/>
      <x:c r="AH47" s="192"/>
      <x:c r="AI47" s="192"/>
      <x:c r="AJ47" s="192"/>
      <x:c r="AK47" s="192"/>
      <x:c r="AL47" s="192"/>
      <x:c r="AM47" s="192"/>
      <x:c r="AN47" s="192"/>
      <x:c r="AO47" s="192"/>
      <x:c r="AP47" s="192"/>
      <x:c r="AQ47" s="192"/>
      <x:c r="AR47" s="192"/>
      <x:c r="AS47" s="192"/>
      <x:c r="AT47" s="192"/>
      <x:c r="AU47" s="192"/>
      <x:c r="AV47" s="192"/>
      <x:c r="AW47" s="192"/>
      <x:c r="AX47" s="192" t="str">
        <x:f>"    "&amp;TEXT(AE47,"#0.00%")&amp;" "&amp;"소프트웨어설치"&amp;" "&amp;IF(P47="","",TEXT(P47,"M/D-"))&amp;IF(Q47="","",TEXT(Q47,"M/D"))&amp;" "</x:f>
        <x:v xml:space="preserve">    0.00% 소프트웨어설치 12/9-12/16 </x:v>
      </x:c>
      <x:c r="AY47" s="192"/>
      <x:c r="AZ47" s="192"/>
      <x:c r="BA47" s="192"/>
      <x:c r="BB47" s="192"/>
      <x:c r="BC47" s="192"/>
    </x:row>
    <x:row r="48" spans="1:55" customHeight="1" outlineLevel="3">
      <x:c r="A48" s="204"/>
      <x:c r="B48" s="204"/>
      <x:c r="C48" s="204">
        <x:v>4</x:v>
      </x:c>
      <x:c r="D48" s="217" t="s">
        <x:v>927</x:v>
      </x:c>
      <x:c r="E48" s="205"/>
      <x:c r="F48" s="205"/>
      <x:c r="G48" s="205"/>
      <x:c r="H48" s="205" t="s">
        <x:v>884</x:v>
      </x:c>
      <x:c r="I48" s="205"/>
      <x:c r="J48" s="205"/>
      <x:c r="K48" s="205"/>
      <x:c r="L48" s="205"/>
      <x:c r="M48" s="205"/>
      <x:c r="N48" s="205"/>
      <x:c r="O48" s="205"/>
      <x:c r="P48" s="206">
        <x:v>44546</x:v>
      </x:c>
      <x:c r="Q48" s="146">
        <x:v>44546</x:v>
      </x:c>
      <x:c r="R48" s="207"/>
      <x:c r="S48" s="208">
        <x:v>2</x:v>
      </x:c>
      <x:c r="T48" s="208">
        <x:v>0</x:v>
      </x:c>
      <x:c r="U48" s="208">
        <x:v>0</x:v>
      </x:c>
      <x:c r="V48" s="208">
        <x:v>0</x:v>
      </x:c>
      <x:c r="W48" s="206"/>
      <x:c r="X48" s="206"/>
      <x:c r="Y48" s="209"/>
      <x:c r="Z48" s="210">
        <x:v>0</x:v>
      </x:c>
      <x:c r="AA48" s="208">
        <x:v>1</x:v>
      </x:c>
      <x:c r="AB48" s="147" t="s">
        <x:v>22</x:v>
      </x:c>
      <x:c r="AC48" s="211"/>
      <x:c r="AD48" s="212">
        <x:v>0</x:v>
      </x:c>
      <x:c r="AE48" s="214">
        <x:v>0</x:v>
      </x:c>
      <x:c r="AF48" s="191"/>
      <x:c r="AG48" s="192"/>
      <x:c r="AH48" s="192"/>
      <x:c r="AI48" s="192"/>
      <x:c r="AJ48" s="192"/>
      <x:c r="AK48" s="192"/>
      <x:c r="AL48" s="192"/>
      <x:c r="AM48" s="192"/>
      <x:c r="AN48" s="192"/>
      <x:c r="AO48" s="192"/>
      <x:c r="AP48" s="192"/>
      <x:c r="AQ48" s="192"/>
      <x:c r="AR48" s="192"/>
      <x:c r="AS48" s="192"/>
      <x:c r="AT48" s="192"/>
      <x:c r="AU48" s="192"/>
      <x:c r="AV48" s="192"/>
      <x:c r="AW48" s="192"/>
      <x:c r="AX48" s="192" t="str">
        <x:f>"    "&amp;TEXT(AE48,"#0.00%")&amp;" "&amp;"인수테스트실시"&amp;" "&amp;IF(P48="","",TEXT(P48,"M/D-"))&amp;IF(Q48="","",TEXT(Q48,"M/D"))&amp;" "</x:f>
        <x:v xml:space="preserve">    0.00% 인수테스트실시 12/16-12/16 </x:v>
      </x:c>
      <x:c r="AY48" s="192"/>
      <x:c r="AZ48" s="192"/>
      <x:c r="BA48" s="192"/>
      <x:c r="BB48" s="192"/>
      <x:c r="BC48" s="192"/>
    </x:row>
    <x:row r="49" spans="1:55" customHeight="1">
      <x:c r="A49" s="193"/>
      <x:c r="B49" s="193"/>
      <x:c r="C49" s="193"/>
      <x:c r="D49" s="194"/>
      <x:c r="E49" s="195"/>
      <x:c r="F49" s="195"/>
      <x:c r="G49" s="195"/>
      <x:c r="H49" s="195"/>
      <x:c r="I49" s="195"/>
      <x:c r="J49" s="195"/>
      <x:c r="K49" s="195"/>
      <x:c r="L49" s="195"/>
      <x:c r="M49" s="195"/>
      <x:c r="N49" s="195"/>
      <x:c r="O49" s="195"/>
      <x:c r="P49" s="196"/>
      <x:c r="Q49" s="196"/>
      <x:c r="R49" s="197"/>
      <x:c r="S49" s="198"/>
      <x:c r="T49" s="198"/>
      <x:c r="U49" s="198"/>
      <x:c r="V49" s="198"/>
      <x:c r="W49" s="196"/>
      <x:c r="X49" s="196"/>
      <x:c r="Y49" s="199"/>
      <x:c r="Z49" s="200"/>
      <x:c r="AA49" s="198"/>
      <x:c r="AB49" s="197"/>
      <x:c r="AC49" s="201"/>
      <x:c r="AD49" s="202"/>
      <x:c r="AE49" s="203"/>
      <x:c r="AF49" s="190"/>
      <x:c r="AG49" s="190"/>
      <x:c r="AH49" s="190"/>
      <x:c r="AI49" s="190"/>
      <x:c r="AJ49" s="190"/>
      <x:c r="AK49" s="190"/>
      <x:c r="AL49" s="190"/>
      <x:c r="AM49" s="190"/>
      <x:c r="AN49" s="190"/>
      <x:c r="AO49" s="190"/>
      <x:c r="AP49" s="190"/>
      <x:c r="AQ49" s="190"/>
      <x:c r="AR49" s="190"/>
      <x:c r="AS49" s="190"/>
      <x:c r="AT49" s="190"/>
      <x:c r="AU49" s="190"/>
      <x:c r="AV49" s="190"/>
      <x:c r="AW49" s="190"/>
      <x:c r="AX49" s="190"/>
      <x:c r="AY49" s="190"/>
      <x:c r="AZ49" s="190"/>
      <x:c r="BA49" s="190"/>
      <x:c r="BB49" s="190"/>
      <x:c r="BC49" s="190"/>
    </x:row>
  </x:sheetData>
  <x:sheetProtection sheet="0" objects="0" scenarios="0" formatCells="0" formatColumns="0" formatRows="0" insertColumns="0" insertRows="0" insertHyperlinks="0" deleteColumns="0" deleteRows="0" selectLockedCells="0" sort="0" autoFilter="0" pivotTables="0" selectUnlockedCells="0"/>
  <x:mergeCells count="35">
    <x:mergeCell ref="AE3:AE4"/>
    <x:mergeCell ref="AD3:AD4"/>
    <x:mergeCell ref="AB3:AB4"/>
    <x:mergeCell ref="A3:A4"/>
    <x:mergeCell ref="B3:B4"/>
    <x:mergeCell ref="C3:C4"/>
    <x:mergeCell ref="D3:D4"/>
    <x:mergeCell ref="E3:N4"/>
    <x:mergeCell ref="AA3:AA4"/>
    <x:mergeCell ref="AC3:AC4"/>
    <x:mergeCell ref="D2:F2"/>
    <x:mergeCell ref="O3:O4"/>
    <x:mergeCell ref="V3:V4"/>
    <x:mergeCell ref="X3:X4"/>
    <x:mergeCell ref="Z3:Z4"/>
    <x:mergeCell ref="P3:P4"/>
    <x:mergeCell ref="Q3:Q4"/>
    <x:mergeCell ref="S3:S4"/>
    <x:mergeCell ref="R3:R4"/>
    <x:mergeCell ref="T3:T4"/>
    <x:mergeCell ref="W3:W4"/>
    <x:mergeCell ref="U3:U4"/>
    <x:mergeCell ref="Y3:Y4"/>
    <x:mergeCell ref="AR3:AU3"/>
    <x:mergeCell ref="AR2:AU2"/>
    <x:mergeCell ref="AV3:AY3"/>
    <x:mergeCell ref="AV2:AY2"/>
    <x:mergeCell ref="AZ3:BC3"/>
    <x:mergeCell ref="AZ2:BC2"/>
    <x:mergeCell ref="AF3:AI3"/>
    <x:mergeCell ref="AF2:AI2"/>
    <x:mergeCell ref="AJ3:AM3"/>
    <x:mergeCell ref="AJ2:AM2"/>
    <x:mergeCell ref="AN3:AQ3"/>
    <x:mergeCell ref="AN2:AQ2"/>
  </x:mergeCells>
  <x:conditionalFormatting sqref="D5:AD18 D21:AA24 D25:AD48 AB19:AB24 AC21:AD24 P19:Q19 AD19:AD20 S19:V20">
    <x:cfRule type="expression" dxfId="13" priority="2">
      <x:formula>($B5="G")</x:formula>
    </x:cfRule>
    <x:cfRule type="expression" dxfId="14" priority="1">
      <x:formula>($AE5=1)</x:formula>
    </x:cfRule>
  </x:conditionalFormatting>
  <x:hyperlinks>
    <x:hyperlink ref="AF1:BJ1" r:id="rId1"/>
  </x:hyperlinks>
  <x:pageMargins left="0.19680555164813995" right="0.2361111044883728" top="0.43305554986000061" bottom="0.2361111044883728" header="0.2361111044883728" footer="0.19680555164813995"/>
  <x:pageSetup paperSize="9" scale="68" firstPageNumber="1" fitToWidth="1" fitToHeight="1" orientation="landscape" usePrinterDefaults="1" blackAndWhite="0" draft="0" useFirstPageNumber="0" horizontalDpi="600" verticalDpi="600" copies="1"/>
  <x:headerFooter>
    <x:oddFooter>&amp;L&amp;"맑은 고딕,Regular"&amp;9XLGantt ©http://xlworks.net&amp;C&amp;"맑은 고딕,Regular"&amp;9&amp;P/&amp;N</x:oddFooter>
  </x:headerFooter>
  <x:drawing r:id="rId2"/>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12">
    <x:tabColor rgb="ffff6600"/>
    <x:pageSetUpPr autoPageBreaks="1" fitToPage="1"/>
  </x:sheetPr>
  <x:dimension ref="A1:Q30"/>
  <x:sheetViews>
    <x:sheetView showGridLines="0" topLeftCell="A1" zoomScaleNormal="100" zoomScaleSheetLayoutView="75" workbookViewId="0">
      <x:pane xSplit="0" ySplit="1" topLeftCell="A2" activePane="bottomLeft" state="frozen"/>
      <x:selection pane="bottomLeft" activeCell="D32" activeCellId="0" sqref="D32:D32"/>
    </x:sheetView>
  </x:sheetViews>
  <x:sheetFormatPr defaultColWidth="10" defaultRowHeight="14.199999999999999"/>
  <x:cols>
    <x:col min="1" max="1" width="35.375" style="58" customWidth="1"/>
    <x:col min="2" max="2" width="13.25" style="56" customWidth="1"/>
    <x:col min="3" max="3" width="9.875" style="60" customWidth="1"/>
    <x:col min="4" max="4" width="31.375" style="60" customWidth="1"/>
    <x:col min="5" max="6" width="14.125" style="60" customWidth="1"/>
    <x:col min="7" max="7" width="28.375" style="60" customWidth="1"/>
    <x:col min="8" max="9" width="10" style="60"/>
    <x:col min="10" max="10" width="8.875" style="60" bestFit="1" customWidth="1"/>
    <x:col min="11" max="19" width="10" style="60"/>
    <x:col min="20" max="22" width="10" style="60" customWidth="1"/>
    <x:col min="23" max="23" width="10" style="60" hidden="1" customWidth="1"/>
    <x:col min="24" max="26" width="10" style="60"/>
    <x:col min="27" max="27" width="0" style="60" hidden="1" customWidth="1"/>
    <x:col min="28" max="16384" width="10" style="60"/>
  </x:cols>
  <x:sheetData>
    <x:row r="1" spans="1:17" s="5" customFormat="1" ht="36.950000000000003" customHeight="1">
      <x:c r="A1" s="2" t="s">
        <x:v>536</x:v>
      </x:c>
      <x:c r="B1" s="3"/>
      <x:c r="C1" s="3"/>
      <x:c r="D1" s="3"/>
      <x:c r="E1" s="3"/>
      <x:c r="F1" s="3"/>
      <x:c r="G1" s="3"/>
      <x:c r="H1" s="3"/>
      <x:c r="I1" s="3"/>
      <x:c r="J1" s="3"/>
      <x:c r="K1" s="3"/>
      <x:c r="L1" s="294"/>
      <x:c r="M1" s="295"/>
      <x:c r="N1" s="295"/>
      <x:c r="O1" s="4"/>
      <x:c r="P1" s="4"/>
      <x:c r="Q1" s="4"/>
    </x:row>
    <x:row r="2" spans="1:2" s="8" customFormat="1" ht="13">
      <x:c r="A2" s="6" t="s">
        <x:v>615</x:v>
      </x:c>
      <x:c r="B2" s="7"/>
    </x:row>
    <x:row r="3" spans="1:2" s="8" customFormat="1" ht="13">
      <x:c r="A3" s="6" t="s">
        <x:v>968</x:v>
      </x:c>
      <x:c r="B3" s="7"/>
    </x:row>
    <x:row r="4" spans="1:6" s="8" customFormat="1" ht="13">
      <x:c r="A4" s="296"/>
      <x:c r="B4" s="296"/>
      <x:c r="C4" s="9"/>
      <x:c r="D4" s="10"/>
      <x:c r="E4" s="10"/>
      <x:c r="F4" s="10"/>
    </x:row>
    <x:row r="5" spans="1:7" s="16" customFormat="1" ht="13">
      <x:c r="A5" s="11"/>
      <x:c r="B5" s="12"/>
      <x:c r="C5" s="13"/>
      <x:c r="D5" s="14"/>
      <x:c r="E5" s="15"/>
      <x:c r="F5" s="15"/>
      <x:c r="G5" s="15"/>
    </x:row>
    <x:row r="6" spans="1:7" s="16" customFormat="1" ht="13">
      <x:c r="A6" s="17" t="s">
        <x:v>1224</x:v>
      </x:c>
      <x:c r="B6" s="18">
        <x:v>286.10000000000002</x:v>
      </x:c>
      <x:c r="C6" s="16" t="s">
        <x:v>685</x:v>
      </x:c>
      <x:c r="D6" s="293" t="s">
        <x:v>163</x:v>
      </x:c>
      <x:c r="E6" s="293"/>
      <x:c r="F6" s="293"/>
      <x:c r="G6" s="293"/>
    </x:row>
    <x:row r="7" spans="1:7" s="16" customFormat="1" ht="13">
      <x:c r="A7" s="19"/>
      <x:c r="B7" s="20"/>
      <x:c r="C7" s="21"/>
      <x:c r="D7" s="22"/>
      <x:c r="E7" s="22"/>
      <x:c r="F7" s="22"/>
      <x:c r="G7" s="22"/>
    </x:row>
    <x:row r="8" spans="1:10" s="16" customFormat="1" ht="12.75" customHeight="1">
      <x:c r="A8" s="23"/>
      <x:c r="B8" s="24"/>
      <x:c r="D8" s="25"/>
      <x:c r="E8" s="25"/>
      <x:c r="F8" s="25"/>
      <x:c r="G8" s="25"/>
      <x:c r="J8" s="26"/>
    </x:row>
    <x:row r="9" spans="1:7" s="16" customFormat="1" ht="13">
      <x:c r="A9" s="17" t="s">
        <x:v>1314</x:v>
      </x:c>
      <x:c r="B9" s="18">
        <x:v>21.399999999999999</x:v>
      </x:c>
      <x:c r="C9" s="16" t="s">
        <x:v>685</x:v>
      </x:c>
      <x:c r="D9" s="292" t="s">
        <x:v>312</x:v>
      </x:c>
      <x:c r="E9" s="292"/>
      <x:c r="F9" s="292"/>
      <x:c r="G9" s="292"/>
    </x:row>
    <x:row r="10" spans="1:7" s="16" customFormat="1" ht="13">
      <x:c r="A10" s="27"/>
      <x:c r="B10" s="20"/>
      <x:c r="C10" s="21"/>
      <x:c r="D10" s="28"/>
      <x:c r="E10" s="28"/>
      <x:c r="F10" s="28"/>
      <x:c r="G10" s="28"/>
    </x:row>
    <x:row r="11" spans="1:7" s="16" customFormat="1" ht="13.5" customHeight="1">
      <x:c r="A11" s="29"/>
      <x:c r="B11" s="24"/>
      <x:c r="D11" s="25"/>
      <x:c r="E11" s="25"/>
      <x:c r="F11" s="25"/>
      <x:c r="G11" s="25"/>
    </x:row>
    <x:row r="12" spans="1:7" s="16" customFormat="1" ht="12.75" customHeight="1">
      <x:c r="A12" s="30" t="s">
        <x:v>820</x:v>
      </x:c>
      <x:c r="B12" s="18">
        <x:v>28.094999999999999</x:v>
      </x:c>
      <x:c r="C12" s="16" t="s">
        <x:v>685</x:v>
      </x:c>
      <x:c r="D12" s="292" t="s">
        <x:v>1034</x:v>
      </x:c>
      <x:c r="E12" s="292"/>
      <x:c r="F12" s="292"/>
      <x:c r="G12" s="292"/>
    </x:row>
    <x:row r="13" spans="1:11" s="33" customFormat="1" ht="13">
      <x:c r="A13" s="31"/>
      <x:c r="B13" s="20"/>
      <x:c r="C13" s="32"/>
      <x:c r="D13" s="28"/>
      <x:c r="E13" s="28"/>
      <x:c r="F13" s="28"/>
      <x:c r="G13" s="28"/>
      <x:c r="K13" s="34"/>
    </x:row>
    <x:row r="14" spans="1:7" s="33" customFormat="1" ht="14.25" customHeight="1">
      <x:c r="A14" s="29"/>
      <x:c r="B14" s="35"/>
      <x:c r="C14" s="36"/>
      <x:c r="D14" s="25"/>
      <x:c r="E14" s="25"/>
      <x:c r="F14" s="25"/>
      <x:c r="G14" s="25"/>
    </x:row>
    <x:row r="15" spans="1:7" s="16" customFormat="1" ht="12.75" customHeight="1">
      <x:c r="A15" s="30" t="s">
        <x:v>414</x:v>
      </x:c>
      <x:c r="B15" s="18"/>
      <x:c r="C15" s="16" t="s">
        <x:v>685</x:v>
      </x:c>
      <x:c r="D15" s="292" t="s">
        <x:v>987</x:v>
      </x:c>
      <x:c r="E15" s="292"/>
      <x:c r="F15" s="292"/>
      <x:c r="G15" s="292"/>
    </x:row>
    <x:row r="16" spans="1:7" s="16" customFormat="1" ht="13">
      <x:c r="A16" s="31"/>
      <x:c r="B16" s="37"/>
      <x:c r="C16" s="38"/>
      <x:c r="D16" s="28"/>
      <x:c r="E16" s="28"/>
      <x:c r="F16" s="28"/>
      <x:c r="G16" s="28"/>
    </x:row>
    <x:row r="17" spans="1:7" s="33" customFormat="1" ht="12.75" customHeight="1">
      <x:c r="A17" s="39"/>
      <x:c r="B17" s="35"/>
      <x:c r="C17" s="36"/>
      <x:c r="D17" s="25"/>
      <x:c r="E17" s="25"/>
      <x:c r="F17" s="25"/>
      <x:c r="G17" s="25"/>
    </x:row>
    <x:row r="18" spans="1:7" s="16" customFormat="1" ht="13">
      <x:c r="A18" s="17" t="s">
        <x:v>1211</x:v>
      </x:c>
      <x:c r="B18" s="40">
        <x:v>0.074799021321216352</x:v>
      </x:c>
      <x:c r="D18" s="292" t="s">
        <x:v>130</x:v>
      </x:c>
      <x:c r="E18" s="292"/>
      <x:c r="F18" s="292"/>
      <x:c r="G18" s="292"/>
    </x:row>
    <x:row r="19" spans="1:7" s="16" customFormat="1" ht="13">
      <x:c r="A19" s="41"/>
      <x:c r="B19" s="37"/>
      <x:c r="C19" s="38"/>
      <x:c r="D19" s="28"/>
      <x:c r="E19" s="28"/>
      <x:c r="F19" s="28"/>
      <x:c r="G19" s="28"/>
    </x:row>
    <x:row r="20" spans="1:7" s="16" customFormat="1" ht="12.75" customHeight="1">
      <x:c r="A20" s="42"/>
      <x:c r="B20" s="12"/>
      <x:c r="C20" s="13"/>
      <x:c r="D20" s="25"/>
      <x:c r="E20" s="25"/>
      <x:c r="F20" s="25"/>
      <x:c r="G20" s="25"/>
    </x:row>
    <x:row r="21" spans="1:7" s="16" customFormat="1" ht="13">
      <x:c r="A21" s="17" t="s">
        <x:v>1191</x:v>
      </x:c>
      <x:c r="B21" s="40">
        <x:v>0.098199930094372584</x:v>
      </x:c>
      <x:c r="D21" s="292" t="s">
        <x:v>305</x:v>
      </x:c>
      <x:c r="E21" s="292"/>
      <x:c r="F21" s="292"/>
      <x:c r="G21" s="292"/>
    </x:row>
    <x:row r="22" spans="1:7" s="16" customFormat="1" ht="13">
      <x:c r="A22" s="43"/>
      <x:c r="B22" s="44"/>
      <x:c r="C22" s="45"/>
      <x:c r="D22" s="28"/>
      <x:c r="E22" s="28"/>
      <x:c r="F22" s="28"/>
      <x:c r="G22" s="28"/>
    </x:row>
    <x:row r="23" spans="1:7" s="16" customFormat="1" ht="13.5" customHeight="1">
      <x:c r="A23" s="46"/>
      <x:c r="B23" s="47"/>
      <x:c r="C23" s="48"/>
      <x:c r="D23" s="49"/>
      <x:c r="E23" s="49"/>
      <x:c r="F23" s="49"/>
      <x:c r="G23" s="49"/>
    </x:row>
    <x:row r="24" spans="1:7" s="16" customFormat="1" ht="13">
      <x:c r="A24" s="17" t="s">
        <x:v>768</x:v>
      </x:c>
      <x:c r="B24" s="50">
        <x:f>ACTUAL_RATE-PLANNED_RATE</x:f>
        <x:v>0.023400908773156232</x:v>
      </x:c>
      <x:c r="D24" s="293" t="s">
        <x:v>515</x:v>
      </x:c>
      <x:c r="E24" s="293"/>
      <x:c r="F24" s="293"/>
      <x:c r="G24" s="293"/>
    </x:row>
    <x:row r="25" spans="1:7" s="16" customFormat="1" ht="13">
      <x:c r="A25" s="51"/>
      <x:c r="B25" s="52"/>
      <x:c r="C25" s="53"/>
      <x:c r="D25" s="54"/>
      <x:c r="E25" s="54"/>
      <x:c r="F25" s="54"/>
      <x:c r="G25" s="54"/>
    </x:row>
    <x:row r="26" spans="1:2" s="57" customFormat="1">
      <x:c r="A26" s="55"/>
      <x:c r="B26" s="56"/>
    </x:row>
    <x:row r="27" spans="2:7">
      <x:c r="B27" s="59"/>
      <x:c r="G27" s="58"/>
    </x:row>
    <x:row r="28" spans="2:2">
      <x:c r="B28" s="61"/>
    </x:row>
    <x:row r="29" spans="2:2">
      <x:c r="B29" s="61"/>
    </x:row>
    <x:row r="30" spans="2:2">
      <x:c r="B30" s="62"/>
    </x:row>
  </x:sheetData>
  <x:mergeCells count="9">
    <x:mergeCell ref="D18:G18"/>
    <x:mergeCell ref="D21:G21"/>
    <x:mergeCell ref="D24:G24"/>
    <x:mergeCell ref="L1:N1"/>
    <x:mergeCell ref="A4:B4"/>
    <x:mergeCell ref="D6:G6"/>
    <x:mergeCell ref="D9:G9"/>
    <x:mergeCell ref="D12:G12"/>
    <x:mergeCell ref="D15:G15"/>
  </x:mergeCells>
  <x:conditionalFormatting sqref="J1:J1">
    <x:cfRule type="expression" dxfId="12" priority="1">
      <x:formula>$J1="Yes"</x:formula>
    </x:cfRule>
  </x:conditionalFormatting>
  <x:pageMargins left="0.7086111307144165" right="0.7086111307144165" top="0.74791663885116577" bottom="0.74791663885116577" header="0.31486111879348755" footer="0.31486111879348755"/>
  <x:pageSetup paperSize="9" scale="32" firstPageNumber="1" fitToWidth="1" fitToHeight="1" orientation="portrait" usePrinterDefaults="1" blackAndWhite="0" draft="0" useFirstPageNumber="0" horizontalDpi="600" verticalDpi="600" copies="1"/>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2">
    <x:tabColor rgb="ff198cff"/>
  </x:sheetPr>
  <x:dimension ref="A1:L53"/>
  <x:sheetViews>
    <x:sheetView showGridLines="0" topLeftCell="A1" zoomScale="80" zoomScaleNormal="80" zoomScaleSheetLayoutView="75" workbookViewId="0">
      <x:pane xSplit="0" ySplit="6" topLeftCell="A7" activePane="bottomLeft" state="frozen"/>
      <x:selection pane="bottomLeft" activeCell="C26" activeCellId="0" sqref="C26:C26"/>
    </x:sheetView>
  </x:sheetViews>
  <x:sheetFormatPr defaultColWidth="9.125" defaultRowHeight="14.199999999999999"/>
  <x:cols>
    <x:col min="1" max="1" width="20.625" style="137" customWidth="1"/>
    <x:col min="2" max="2" width="11.75" style="137" bestFit="1" customWidth="1"/>
    <x:col min="3" max="3" width="32.375" style="137" bestFit="1" customWidth="1"/>
    <x:col min="4" max="5" width="10.625" style="137" bestFit="1" customWidth="1"/>
    <x:col min="6" max="6" width="9" style="226" bestFit="1" customWidth="1"/>
    <x:col min="7" max="9" width="9.25" style="93" bestFit="1" customWidth="1"/>
    <x:col min="10" max="11" width="8.375" style="93" bestFit="1" customWidth="1"/>
    <x:col min="12" max="12" width="8.75" style="93" bestFit="1" customWidth="1"/>
    <x:col min="13" max="16384" width="9.125" style="137"/>
  </x:cols>
  <x:sheetData>
    <x:row r="1" spans="1:1" ht="36.950000000000003" customHeight="1">
      <x:c r="A1" s="63" t="s">
        <x:v>960</x:v>
      </x:c>
    </x:row>
    <x:row r="2" spans="1:1">
      <x:c r="A2" s="137" t="s">
        <x:v>237</x:v>
      </x:c>
    </x:row>
    <x:row r="3" spans="1:1">
      <x:c r="A3" s="137" t="s">
        <x:v>1390</x:v>
      </x:c>
    </x:row>
    <x:row r="6" spans="1:12" ht="42.549999999999997">
      <x:c r="A6" s="64" t="s">
        <x:v>1447</x:v>
      </x:c>
      <x:c r="B6" s="92" t="s">
        <x:v>1465</x:v>
      </x:c>
      <x:c r="C6" s="92" t="s">
        <x:v>1441</x:v>
      </x:c>
      <x:c r="D6" s="92" t="s">
        <x:v>1438</x:v>
      </x:c>
      <x:c r="E6" s="92" t="s">
        <x:v>1435</x:v>
      </x:c>
      <x:c r="F6" s="227" t="s">
        <x:v>845</x:v>
      </x:c>
      <x:c r="G6" s="228" t="s">
        <x:v>325</x:v>
      </x:c>
      <x:c r="H6" s="228" t="s">
        <x:v>326</x:v>
      </x:c>
      <x:c r="I6" s="228" t="s">
        <x:v>327</x:v>
      </x:c>
      <x:c r="J6" s="228" t="s">
        <x:v>796</x:v>
      </x:c>
      <x:c r="K6" s="228" t="s">
        <x:v>750</x:v>
      </x:c>
      <x:c r="L6" s="229" t="s">
        <x:v>1227</x:v>
      </x:c>
    </x:row>
    <x:row r="7" spans="1:12" outlineLevel="2">
      <x:c r="A7" s="230" t="s">
        <x:v>432</x:v>
      </x:c>
      <x:c r="B7" s="231" t="s">
        <x:v>879</x:v>
      </x:c>
      <x:c r="C7" s="230" t="s">
        <x:v>877</x:v>
      </x:c>
      <x:c r="D7" s="232">
        <x:v>44358</x:v>
      </x:c>
      <x:c r="E7" s="232">
        <x:v>44358</x:v>
      </x:c>
      <x:c r="F7" s="226">
        <x:v>1</x:v>
      </x:c>
      <x:c r="G7" s="93">
        <x:v>1</x:v>
      </x:c>
      <x:c r="H7" s="93">
        <x:v>0</x:v>
      </x:c>
      <x:c r="I7" s="93">
        <x:v>0</x:v>
      </x:c>
      <x:c r="J7" s="226">
        <x:v>0</x:v>
      </x:c>
      <x:c r="K7" s="226">
        <x:v>0</x:v>
      </x:c>
      <x:c r="L7" s="226">
        <x:f>K7-J7</x:f>
        <x:v>0</x:v>
      </x:c>
    </x:row>
    <x:row r="8" spans="1:12" outlineLevel="2">
      <x:c r="A8" s="230" t="s">
        <x:v>432</x:v>
      </x:c>
      <x:c r="B8" s="231" t="s">
        <x:v>869</x:v>
      </x:c>
      <x:c r="C8" s="230" t="s">
        <x:v>870</x:v>
      </x:c>
      <x:c r="D8" s="232">
        <x:v>44487</x:v>
      </x:c>
      <x:c r="E8" s="232">
        <x:v>44487</x:v>
      </x:c>
      <x:c r="F8" s="226">
        <x:v>0</x:v>
      </x:c>
      <x:c r="G8" s="93">
        <x:v>0</x:v>
      </x:c>
      <x:c r="H8" s="93">
        <x:v>0</x:v>
      </x:c>
      <x:c r="I8" s="93">
        <x:v>0</x:v>
      </x:c>
      <x:c r="J8" s="226">
        <x:v>0</x:v>
      </x:c>
      <x:c r="K8" s="226">
        <x:v>0</x:v>
      </x:c>
      <x:c r="L8" s="226">
        <x:f>K8-J8</x:f>
        <x:v>0</x:v>
      </x:c>
    </x:row>
    <x:row r="9" spans="1:12" outlineLevel="2">
      <x:c r="A9" s="230" t="s">
        <x:v>432</x:v>
      </x:c>
      <x:c r="B9" s="231" t="s">
        <x:v>904</x:v>
      </x:c>
      <x:c r="C9" s="230" t="s">
        <x:v>894</x:v>
      </x:c>
      <x:c r="D9" s="232">
        <x:v>44340</x:v>
      </x:c>
      <x:c r="E9" s="232">
        <x:v>44358</x:v>
      </x:c>
      <x:c r="F9" s="226">
        <x:v>1</x:v>
      </x:c>
      <x:c r="G9" s="93">
        <x:v>15</x:v>
      </x:c>
      <x:c r="H9" s="93">
        <x:v>7</x:v>
      </x:c>
      <x:c r="I9" s="93">
        <x:v>15</x:v>
      </x:c>
      <x:c r="J9" s="226">
        <x:v>0.46666666666666667</x:v>
      </x:c>
      <x:c r="K9" s="226">
        <x:v>1</x:v>
      </x:c>
      <x:c r="L9" s="226">
        <x:f>K9-J9</x:f>
        <x:v>0.53333333333333333</x:v>
      </x:c>
    </x:row>
    <x:row r="10" spans="1:12" outlineLevel="2">
      <x:c r="A10" s="230" t="s">
        <x:v>432</x:v>
      </x:c>
      <x:c r="B10" s="231" t="s">
        <x:v>920</x:v>
      </x:c>
      <x:c r="C10" s="230" t="s">
        <x:v>921</x:v>
      </x:c>
      <x:c r="D10" s="232">
        <x:v>44346</x:v>
      </x:c>
      <x:c r="E10" s="232">
        <x:v>44357</x:v>
      </x:c>
      <x:c r="F10" s="226">
        <x:v>1</x:v>
      </x:c>
      <x:c r="G10" s="93">
        <x:v>9</x:v>
      </x:c>
      <x:c r="H10" s="93">
        <x:v>2</x:v>
      </x:c>
      <x:c r="I10" s="93">
        <x:v>1.8</x:v>
      </x:c>
      <x:c r="J10" s="226">
        <x:v>0.22222222222222221</x:v>
      </x:c>
      <x:c r="K10" s="226">
        <x:v>0.20000000000000001</x:v>
      </x:c>
      <x:c r="L10" s="241">
        <x:f>K10-J10</x:f>
        <x:v>-0.022222222222222199</x:v>
      </x:c>
    </x:row>
    <x:row r="11" spans="1:12" outlineLevel="2">
      <x:c r="A11" s="230" t="s">
        <x:v>432</x:v>
      </x:c>
      <x:c r="B11" s="231" t="s">
        <x:v>897</x:v>
      </x:c>
      <x:c r="C11" s="230" t="s">
        <x:v>903</x:v>
      </x:c>
      <x:c r="D11" s="232">
        <x:v>44360</x:v>
      </x:c>
      <x:c r="E11" s="232">
        <x:v>44378</x:v>
      </x:c>
      <x:c r="F11" s="226">
        <x:v>1</x:v>
      </x:c>
      <x:c r="G11" s="93">
        <x:v>14</x:v>
      </x:c>
      <x:c r="H11" s="93">
        <x:v>0</x:v>
      </x:c>
      <x:c r="I11" s="93">
        <x:v>0</x:v>
      </x:c>
      <x:c r="J11" s="226">
        <x:v>0</x:v>
      </x:c>
      <x:c r="K11" s="226">
        <x:v>0</x:v>
      </x:c>
      <x:c r="L11" s="226">
        <x:f>K11-J11</x:f>
        <x:v>0</x:v>
      </x:c>
    </x:row>
    <x:row r="12" spans="1:12" outlineLevel="2">
      <x:c r="A12" s="230" t="s">
        <x:v>432</x:v>
      </x:c>
      <x:c r="B12" s="231" t="s">
        <x:v>905</x:v>
      </x:c>
      <x:c r="C12" s="230" t="s">
        <x:v>1362</x:v>
      </x:c>
      <x:c r="D12" s="232">
        <x:v>44367</x:v>
      </x:c>
      <x:c r="E12" s="232">
        <x:v>44378</x:v>
      </x:c>
      <x:c r="F12" s="226">
        <x:v>1</x:v>
      </x:c>
      <x:c r="G12" s="93">
        <x:v>9</x:v>
      </x:c>
      <x:c r="H12" s="93">
        <x:v>0</x:v>
      </x:c>
      <x:c r="I12" s="93">
        <x:v>0</x:v>
      </x:c>
      <x:c r="J12" s="226">
        <x:v>0</x:v>
      </x:c>
      <x:c r="K12" s="226">
        <x:v>0</x:v>
      </x:c>
      <x:c r="L12" s="226">
        <x:f>K12-J12</x:f>
        <x:v>0</x:v>
      </x:c>
    </x:row>
    <x:row r="13" spans="1:12" outlineLevel="2">
      <x:c r="A13" s="230" t="s">
        <x:v>432</x:v>
      </x:c>
      <x:c r="B13" s="231" t="s">
        <x:v>891</x:v>
      </x:c>
      <x:c r="C13" s="230" t="s">
        <x:v>944</x:v>
      </x:c>
      <x:c r="D13" s="232">
        <x:v>44374</x:v>
      </x:c>
      <x:c r="E13" s="232">
        <x:v>44385</x:v>
      </x:c>
      <x:c r="F13" s="226">
        <x:v>1</x:v>
      </x:c>
      <x:c r="G13" s="93">
        <x:v>9</x:v>
      </x:c>
      <x:c r="H13" s="93">
        <x:v>0</x:v>
      </x:c>
      <x:c r="I13" s="93">
        <x:v>0</x:v>
      </x:c>
      <x:c r="J13" s="226">
        <x:v>0</x:v>
      </x:c>
      <x:c r="K13" s="226">
        <x:v>0</x:v>
      </x:c>
      <x:c r="L13" s="226">
        <x:f>K13-J13</x:f>
        <x:v>0</x:v>
      </x:c>
    </x:row>
    <x:row r="14" spans="1:12" outlineLevel="2">
      <x:c r="A14" s="230" t="s">
        <x:v>432</x:v>
      </x:c>
      <x:c r="B14" s="231" t="s">
        <x:v>912</x:v>
      </x:c>
      <x:c r="C14" s="230" t="s">
        <x:v>895</x:v>
      </x:c>
      <x:c r="D14" s="232">
        <x:v>44374</x:v>
      </x:c>
      <x:c r="E14" s="232">
        <x:v>44392</x:v>
      </x:c>
      <x:c r="F14" s="226">
        <x:v>1</x:v>
      </x:c>
      <x:c r="G14" s="93">
        <x:v>14</x:v>
      </x:c>
      <x:c r="H14" s="93">
        <x:v>0</x:v>
      </x:c>
      <x:c r="I14" s="93">
        <x:v>0</x:v>
      </x:c>
      <x:c r="J14" s="226">
        <x:v>0</x:v>
      </x:c>
      <x:c r="K14" s="226">
        <x:v>0</x:v>
      </x:c>
      <x:c r="L14" s="226">
        <x:f>K14-J14</x:f>
        <x:v>0</x:v>
      </x:c>
    </x:row>
    <x:row r="15" spans="1:12" outlineLevel="2">
      <x:c r="A15" s="230" t="s">
        <x:v>432</x:v>
      </x:c>
      <x:c r="B15" s="231" t="s">
        <x:v>914</x:v>
      </x:c>
      <x:c r="C15" s="230" t="s">
        <x:v>909</x:v>
      </x:c>
      <x:c r="D15" s="232">
        <x:v>44395</x:v>
      </x:c>
      <x:c r="E15" s="232">
        <x:v>44399</x:v>
      </x:c>
      <x:c r="F15" s="226">
        <x:v>1</x:v>
      </x:c>
      <x:c r="G15" s="93">
        <x:v>4</x:v>
      </x:c>
      <x:c r="H15" s="93">
        <x:v>0</x:v>
      </x:c>
      <x:c r="I15" s="93">
        <x:v>0</x:v>
      </x:c>
      <x:c r="J15" s="226">
        <x:v>0</x:v>
      </x:c>
      <x:c r="K15" s="226">
        <x:v>0</x:v>
      </x:c>
      <x:c r="L15" s="226">
        <x:f>K15-J15</x:f>
        <x:v>0</x:v>
      </x:c>
    </x:row>
    <x:row r="16" spans="1:12" outlineLevel="2">
      <x:c r="A16" s="230" t="s">
        <x:v>432</x:v>
      </x:c>
      <x:c r="B16" s="231" t="s">
        <x:v>908</x:v>
      </x:c>
      <x:c r="C16" s="230" t="s">
        <x:v>946</x:v>
      </x:c>
      <x:c r="D16" s="232">
        <x:v>44395</x:v>
      </x:c>
      <x:c r="E16" s="232">
        <x:v>44399</x:v>
      </x:c>
      <x:c r="F16" s="226">
        <x:v>1</x:v>
      </x:c>
      <x:c r="G16" s="93">
        <x:v>4</x:v>
      </x:c>
      <x:c r="H16" s="93">
        <x:v>0</x:v>
      </x:c>
      <x:c r="I16" s="93">
        <x:v>0</x:v>
      </x:c>
      <x:c r="J16" s="226">
        <x:v>0</x:v>
      </x:c>
      <x:c r="K16" s="226">
        <x:v>0</x:v>
      </x:c>
      <x:c r="L16" s="226">
        <x:f>K16-J16</x:f>
        <x:v>0</x:v>
      </x:c>
    </x:row>
    <x:row r="17" spans="1:12" outlineLevel="2">
      <x:c r="A17" s="230" t="s">
        <x:v>432</x:v>
      </x:c>
      <x:c r="B17" s="231" t="s">
        <x:v>947</x:v>
      </x:c>
      <x:c r="C17" s="230" t="s">
        <x:v>893</x:v>
      </x:c>
      <x:c r="D17" s="232">
        <x:v>44395</x:v>
      </x:c>
      <x:c r="E17" s="232">
        <x:v>44399</x:v>
      </x:c>
      <x:c r="F17" s="226">
        <x:v>1</x:v>
      </x:c>
      <x:c r="G17" s="93">
        <x:v>4</x:v>
      </x:c>
      <x:c r="H17" s="93">
        <x:v>0</x:v>
      </x:c>
      <x:c r="I17" s="93">
        <x:v>0</x:v>
      </x:c>
      <x:c r="J17" s="226">
        <x:v>0</x:v>
      </x:c>
      <x:c r="K17" s="226">
        <x:v>0</x:v>
      </x:c>
      <x:c r="L17" s="226">
        <x:f>K17-J17</x:f>
        <x:v>0</x:v>
      </x:c>
    </x:row>
    <x:row r="18" spans="1:12" outlineLevel="2">
      <x:c r="A18" s="230" t="s">
        <x:v>432</x:v>
      </x:c>
      <x:c r="B18" s="231" t="s">
        <x:v>945</x:v>
      </x:c>
      <x:c r="C18" s="230" t="s">
        <x:v>922</x:v>
      </x:c>
      <x:c r="D18" s="232">
        <x:v>44402</x:v>
      </x:c>
      <x:c r="E18" s="232">
        <x:v>44406</x:v>
      </x:c>
      <x:c r="F18" s="226">
        <x:v>1</x:v>
      </x:c>
      <x:c r="G18" s="93">
        <x:v>4</x:v>
      </x:c>
      <x:c r="H18" s="93">
        <x:v>0</x:v>
      </x:c>
      <x:c r="I18" s="93">
        <x:v>0</x:v>
      </x:c>
      <x:c r="J18" s="226">
        <x:v>0</x:v>
      </x:c>
      <x:c r="K18" s="226">
        <x:v>0</x:v>
      </x:c>
      <x:c r="L18" s="226">
        <x:f>K18-J18</x:f>
        <x:v>0</x:v>
      </x:c>
    </x:row>
    <x:row r="19" spans="1:12" outlineLevel="2">
      <x:c r="A19" s="230" t="s">
        <x:v>432</x:v>
      </x:c>
      <x:c r="B19" s="231" t="s">
        <x:v>943</x:v>
      </x:c>
      <x:c r="C19" s="230" t="s">
        <x:v>910</x:v>
      </x:c>
      <x:c r="D19" s="232">
        <x:v>44402</x:v>
      </x:c>
      <x:c r="E19" s="232">
        <x:v>44413</x:v>
      </x:c>
      <x:c r="F19" s="226">
        <x:v>1</x:v>
      </x:c>
      <x:c r="G19" s="93">
        <x:v>9</x:v>
      </x:c>
      <x:c r="H19" s="93">
        <x:v>0</x:v>
      </x:c>
      <x:c r="I19" s="93">
        <x:v>0</x:v>
      </x:c>
      <x:c r="J19" s="226">
        <x:v>0</x:v>
      </x:c>
      <x:c r="K19" s="226">
        <x:v>0</x:v>
      </x:c>
      <x:c r="L19" s="226">
        <x:f>K19-J19</x:f>
        <x:v>0</x:v>
      </x:c>
    </x:row>
    <x:row r="20" spans="1:12" outlineLevel="2">
      <x:c r="A20" s="230" t="s">
        <x:v>432</x:v>
      </x:c>
      <x:c r="B20" s="231" t="s">
        <x:v>950</x:v>
      </x:c>
      <x:c r="C20" s="230" t="s">
        <x:v>1541</x:v>
      </x:c>
      <x:c r="D20" s="232">
        <x:v>44395</x:v>
      </x:c>
      <x:c r="E20" s="232">
        <x:v>44454</x:v>
      </x:c>
      <x:c r="F20" s="226">
        <x:v>1</x:v>
      </x:c>
      <x:c r="G20" s="93">
        <x:v>43</x:v>
      </x:c>
      <x:c r="H20" s="93">
        <x:v>0</x:v>
      </x:c>
      <x:c r="I20" s="93">
        <x:v>0</x:v>
      </x:c>
      <x:c r="J20" s="226">
        <x:v>0</x:v>
      </x:c>
      <x:c r="K20" s="226">
        <x:v>0</x:v>
      </x:c>
      <x:c r="L20" s="226">
        <x:f>K20-J20</x:f>
        <x:v>0</x:v>
      </x:c>
    </x:row>
    <x:row r="21" spans="1:12" outlineLevel="2">
      <x:c r="A21" s="230" t="s">
        <x:v>432</x:v>
      </x:c>
      <x:c r="B21" s="231" t="s">
        <x:v>949</x:v>
      </x:c>
      <x:c r="C21" s="230" t="s">
        <x:v>1546</x:v>
      </x:c>
      <x:c r="D21" s="232">
        <x:v>44395</x:v>
      </x:c>
      <x:c r="E21" s="232">
        <x:v>44454</x:v>
      </x:c>
      <x:c r="F21" s="226">
        <x:v>1</x:v>
      </x:c>
      <x:c r="G21" s="93">
        <x:v>43</x:v>
      </x:c>
      <x:c r="H21" s="93">
        <x:v>0</x:v>
      </x:c>
      <x:c r="I21" s="93">
        <x:v>0</x:v>
      </x:c>
      <x:c r="J21" s="226">
        <x:v>0</x:v>
      </x:c>
      <x:c r="K21" s="226">
        <x:v>0</x:v>
      </x:c>
      <x:c r="L21" s="226">
        <x:f>K21-J21</x:f>
        <x:v>0</x:v>
      </x:c>
    </x:row>
    <x:row r="22" spans="1:12" outlineLevel="2">
      <x:c r="A22" s="230" t="s">
        <x:v>432</x:v>
      </x:c>
      <x:c r="B22" s="231" t="s">
        <x:v>951</x:v>
      </x:c>
      <x:c r="C22" s="230" t="s">
        <x:v>1537</x:v>
      </x:c>
      <x:c r="D22" s="232">
        <x:v>44409</x:v>
      </x:c>
      <x:c r="E22" s="232">
        <x:v>44454</x:v>
      </x:c>
      <x:c r="F22" s="226">
        <x:v>1</x:v>
      </x:c>
      <x:c r="G22" s="93">
        <x:v>33</x:v>
      </x:c>
      <x:c r="H22" s="93">
        <x:v>0</x:v>
      </x:c>
      <x:c r="I22" s="93">
        <x:v>0</x:v>
      </x:c>
      <x:c r="J22" s="226">
        <x:v>0</x:v>
      </x:c>
      <x:c r="K22" s="226">
        <x:v>0</x:v>
      </x:c>
      <x:c r="L22" s="226">
        <x:f>K22-J22</x:f>
        <x:v>0</x:v>
      </x:c>
    </x:row>
    <x:row r="23" spans="1:12" outlineLevel="2">
      <x:c r="A23" s="230" t="s">
        <x:v>432</x:v>
      </x:c>
      <x:c r="B23" s="231" t="s">
        <x:v>916</x:v>
      </x:c>
      <x:c r="C23" s="230" t="s">
        <x:v>896</x:v>
      </x:c>
      <x:c r="D23" s="232">
        <x:v>44437</x:v>
      </x:c>
      <x:c r="E23" s="232">
        <x:v>44455</x:v>
      </x:c>
      <x:c r="F23" s="226">
        <x:v>1</x:v>
      </x:c>
      <x:c r="G23" s="93">
        <x:v>14</x:v>
      </x:c>
      <x:c r="H23" s="93">
        <x:v>0</x:v>
      </x:c>
      <x:c r="I23" s="93">
        <x:v>0</x:v>
      </x:c>
      <x:c r="J23" s="226">
        <x:v>0</x:v>
      </x:c>
      <x:c r="K23" s="226">
        <x:v>0</x:v>
      </x:c>
      <x:c r="L23" s="226">
        <x:f>K23-J23</x:f>
        <x:v>0</x:v>
      </x:c>
    </x:row>
    <x:row r="24" spans="1:12" outlineLevel="2">
      <x:c r="A24" s="230" t="s">
        <x:v>432</x:v>
      </x:c>
      <x:c r="B24" s="231" t="s">
        <x:v>898</x:v>
      </x:c>
      <x:c r="C24" s="230" t="s">
        <x:v>952</x:v>
      </x:c>
      <x:c r="D24" s="232">
        <x:v>44458</x:v>
      </x:c>
      <x:c r="E24" s="232">
        <x:v>44462</x:v>
      </x:c>
      <x:c r="F24" s="226">
        <x:v>1</x:v>
      </x:c>
      <x:c r="G24" s="93">
        <x:v>1</x:v>
      </x:c>
      <x:c r="H24" s="93">
        <x:v>0</x:v>
      </x:c>
      <x:c r="I24" s="93">
        <x:v>0</x:v>
      </x:c>
      <x:c r="J24" s="226">
        <x:v>0</x:v>
      </x:c>
      <x:c r="K24" s="226">
        <x:v>0</x:v>
      </x:c>
      <x:c r="L24" s="226">
        <x:f>K24-J24</x:f>
        <x:v>0</x:v>
      </x:c>
    </x:row>
    <x:row r="25" spans="1:12" outlineLevel="2">
      <x:c r="A25" s="230" t="s">
        <x:v>432</x:v>
      </x:c>
      <x:c r="B25" s="231" t="s">
        <x:v>924</x:v>
      </x:c>
      <x:c r="C25" s="230" t="s">
        <x:v>495</x:v>
      </x:c>
      <x:c r="D25" s="232">
        <x:v>44458</x:v>
      </x:c>
      <x:c r="E25" s="232">
        <x:v>44460</x:v>
      </x:c>
      <x:c r="F25" s="226">
        <x:v>1</x:v>
      </x:c>
      <x:c r="G25" s="93">
        <x:v>0</x:v>
      </x:c>
      <x:c r="H25" s="93">
        <x:v>0</x:v>
      </x:c>
      <x:c r="I25" s="93">
        <x:v>0</x:v>
      </x:c>
      <x:c r="J25" s="226">
        <x:v>0</x:v>
      </x:c>
      <x:c r="K25" s="226">
        <x:v>0</x:v>
      </x:c>
      <x:c r="L25" s="226">
        <x:f>K25-J25</x:f>
        <x:v>0</x:v>
      </x:c>
    </x:row>
    <x:row r="26" spans="1:12" outlineLevel="2">
      <x:c r="A26" s="230" t="s">
        <x:v>432</x:v>
      </x:c>
      <x:c r="B26" s="231" t="s">
        <x:v>931</x:v>
      </x:c>
      <x:c r="C26" s="230" t="s">
        <x:v>948</x:v>
      </x:c>
      <x:c r="D26" s="232">
        <x:v>44462</x:v>
      </x:c>
      <x:c r="E26" s="232">
        <x:v>44464</x:v>
      </x:c>
      <x:c r="F26" s="226">
        <x:v>1</x:v>
      </x:c>
      <x:c r="G26" s="93">
        <x:v>2</x:v>
      </x:c>
      <x:c r="H26" s="93">
        <x:v>0</x:v>
      </x:c>
      <x:c r="I26" s="93">
        <x:v>0</x:v>
      </x:c>
      <x:c r="J26" s="226">
        <x:v>0</x:v>
      </x:c>
      <x:c r="K26" s="226">
        <x:v>0</x:v>
      </x:c>
      <x:c r="L26" s="226">
        <x:f>K26-J26</x:f>
        <x:v>0</x:v>
      </x:c>
    </x:row>
    <x:row r="27" spans="1:12" outlineLevel="2">
      <x:c r="A27" s="230" t="s">
        <x:v>432</x:v>
      </x:c>
      <x:c r="B27" s="231" t="s">
        <x:v>939</x:v>
      </x:c>
      <x:c r="C27" s="230" t="s">
        <x:v>926</x:v>
      </x:c>
      <x:c r="D27" s="232">
        <x:v>44462</x:v>
      </x:c>
      <x:c r="E27" s="232">
        <x:v>44464</x:v>
      </x:c>
      <x:c r="F27" s="226">
        <x:v>1</x:v>
      </x:c>
      <x:c r="G27" s="93">
        <x:v>2</x:v>
      </x:c>
      <x:c r="H27" s="93">
        <x:v>0</x:v>
      </x:c>
      <x:c r="I27" s="93">
        <x:v>0</x:v>
      </x:c>
      <x:c r="J27" s="226">
        <x:v>0</x:v>
      </x:c>
      <x:c r="K27" s="226">
        <x:v>0</x:v>
      </x:c>
      <x:c r="L27" s="226">
        <x:f>K27-J27</x:f>
        <x:v>0</x:v>
      </x:c>
    </x:row>
    <x:row r="28" spans="1:12" outlineLevel="2">
      <x:c r="A28" s="230" t="s">
        <x:v>432</x:v>
      </x:c>
      <x:c r="B28" s="231" t="s">
        <x:v>927</x:v>
      </x:c>
      <x:c r="C28" s="230" t="s">
        <x:v>937</x:v>
      </x:c>
      <x:c r="D28" s="232">
        <x:v>44462</x:v>
      </x:c>
      <x:c r="E28" s="232">
        <x:v>44464</x:v>
      </x:c>
      <x:c r="F28" s="226">
        <x:v>1</x:v>
      </x:c>
      <x:c r="G28" s="93">
        <x:v>2</x:v>
      </x:c>
      <x:c r="H28" s="93">
        <x:v>0</x:v>
      </x:c>
      <x:c r="I28" s="93">
        <x:v>0</x:v>
      </x:c>
      <x:c r="J28" s="226">
        <x:v>0</x:v>
      </x:c>
      <x:c r="K28" s="226">
        <x:v>0</x:v>
      </x:c>
      <x:c r="L28" s="226">
        <x:f>K28-J28</x:f>
        <x:v>0</x:v>
      </x:c>
    </x:row>
    <x:row r="29" spans="1:12" outlineLevel="2">
      <x:c r="A29" s="230" t="s">
        <x:v>432</x:v>
      </x:c>
      <x:c r="B29" s="231" t="s">
        <x:v>928</x:v>
      </x:c>
      <x:c r="C29" s="230" t="s">
        <x:v>929</x:v>
      </x:c>
      <x:c r="D29" s="232">
        <x:v>44465</x:v>
      </x:c>
      <x:c r="E29" s="232">
        <x:v>44465</x:v>
      </x:c>
      <x:c r="F29" s="226">
        <x:v>0</x:v>
      </x:c>
      <x:c r="G29" s="93">
        <x:v>0</x:v>
      </x:c>
      <x:c r="H29" s="93">
        <x:v>0</x:v>
      </x:c>
      <x:c r="I29" s="93">
        <x:v>0</x:v>
      </x:c>
      <x:c r="J29" s="226">
        <x:v>0</x:v>
      </x:c>
      <x:c r="K29" s="226">
        <x:v>0</x:v>
      </x:c>
      <x:c r="L29" s="226">
        <x:f>K29-J29</x:f>
        <x:v>0</x:v>
      </x:c>
    </x:row>
    <x:row r="30" spans="1:12" outlineLevel="1">
      <x:c r="A30" s="233" t="s">
        <x:v>959</x:v>
      </x:c>
      <x:c r="B30" s="234"/>
      <x:c r="C30" s="235"/>
      <x:c r="D30" s="236"/>
      <x:c r="E30" s="236"/>
      <x:c r="F30" s="237"/>
      <x:c r="G30" s="238">
        <x:f>SUBTOTAL(9,G7:G29)</x:f>
        <x:v>236</x:v>
      </x:c>
      <x:c r="H30" s="238">
        <x:f>SUBTOTAL(9,H7:H29)</x:f>
        <x:v>9</x:v>
      </x:c>
      <x:c r="I30" s="238">
        <x:f>SUBTOTAL(9,I7:I29)</x:f>
        <x:v>16.800000000000001</x:v>
      </x:c>
      <x:c r="J30" s="237">
        <x:f>H30/G30</x:f>
        <x:v>0.038135593220338987</x:v>
      </x:c>
      <x:c r="K30" s="237">
        <x:f>I30/G30</x:f>
        <x:v>0.071186440677966104</x:v>
      </x:c>
      <x:c r="L30" s="237">
        <x:f>K30-J30</x:f>
        <x:v>0.033050847457627118</x:v>
      </x:c>
    </x:row>
    <x:row r="31" spans="1:12" outlineLevel="2">
      <x:c r="A31" s="230" t="s">
        <x:v>1506</x:v>
      </x:c>
      <x:c r="B31" s="231" t="s">
        <x:v>810</x:v>
      </x:c>
      <x:c r="C31" s="230" t="s">
        <x:v>889</x:v>
      </x:c>
      <x:c r="D31" s="232">
        <x:v>44336</x:v>
      </x:c>
      <x:c r="E31" s="232">
        <x:v>44337</x:v>
      </x:c>
      <x:c r="F31" s="226">
        <x:v>1</x:v>
      </x:c>
      <x:c r="G31" s="93">
        <x:v>2</x:v>
      </x:c>
      <x:c r="H31" s="93">
        <x:v>2</x:v>
      </x:c>
      <x:c r="I31" s="93">
        <x:v>2</x:v>
      </x:c>
      <x:c r="J31" s="226">
        <x:v>1</x:v>
      </x:c>
      <x:c r="K31" s="226">
        <x:v>1</x:v>
      </x:c>
      <x:c r="L31" s="226">
        <x:f>K31-J31</x:f>
        <x:v>0</x:v>
      </x:c>
    </x:row>
    <x:row r="32" spans="1:12" outlineLevel="2">
      <x:c r="A32" s="230" t="s">
        <x:v>1506</x:v>
      </x:c>
      <x:c r="B32" s="231" t="s">
        <x:v>821</x:v>
      </x:c>
      <x:c r="C32" s="230" t="s">
        <x:v>866</x:v>
      </x:c>
      <x:c r="D32" s="232">
        <x:v>44462</x:v>
      </x:c>
      <x:c r="E32" s="232">
        <x:v>44466</x:v>
      </x:c>
      <x:c r="F32" s="226">
        <x:v>1</x:v>
      </x:c>
      <x:c r="G32" s="93">
        <x:v>3</x:v>
      </x:c>
      <x:c r="H32" s="93">
        <x:v>0</x:v>
      </x:c>
      <x:c r="I32" s="93">
        <x:v>0</x:v>
      </x:c>
      <x:c r="J32" s="226">
        <x:v>0</x:v>
      </x:c>
      <x:c r="K32" s="226">
        <x:v>0</x:v>
      </x:c>
      <x:c r="L32" s="226">
        <x:f>K32-J32</x:f>
        <x:v>0</x:v>
      </x:c>
    </x:row>
    <x:row r="33" spans="1:12" outlineLevel="1">
      <x:c r="A33" s="233" t="s">
        <x:v>930</x:v>
      </x:c>
      <x:c r="B33" s="234"/>
      <x:c r="C33" s="235"/>
      <x:c r="D33" s="236"/>
      <x:c r="E33" s="236"/>
      <x:c r="F33" s="237"/>
      <x:c r="G33" s="238">
        <x:f>SUBTOTAL(9,G31:G32)</x:f>
        <x:v>5</x:v>
      </x:c>
      <x:c r="H33" s="238">
        <x:f>SUBTOTAL(9,H31:H32)</x:f>
        <x:v>2</x:v>
      </x:c>
      <x:c r="I33" s="238">
        <x:f>SUBTOTAL(9,I31:I32)</x:f>
        <x:v>2</x:v>
      </x:c>
      <x:c r="J33" s="237">
        <x:f>H33/G33</x:f>
        <x:v>0.40000000000000002</x:v>
      </x:c>
      <x:c r="K33" s="237">
        <x:f>I33/G33</x:f>
        <x:v>0.40000000000000002</x:v>
      </x:c>
      <x:c r="L33" s="237">
        <x:f>K33-J33</x:f>
        <x:v>0</x:v>
      </x:c>
    </x:row>
    <x:row r="34" spans="1:12" outlineLevel="2">
      <x:c r="A34" s="230" t="s">
        <x:v>1508</x:v>
      </x:c>
      <x:c r="B34" s="231" t="s">
        <x:v>864</x:v>
      </x:c>
      <x:c r="C34" s="230" t="s">
        <x:v>867</x:v>
      </x:c>
      <x:c r="D34" s="232">
        <x:v>44487</x:v>
      </x:c>
      <x:c r="E34" s="232">
        <x:v>44487</x:v>
      </x:c>
      <x:c r="F34" s="226">
        <x:v>1</x:v>
      </x:c>
      <x:c r="G34" s="93">
        <x:v>1</x:v>
      </x:c>
      <x:c r="H34" s="93">
        <x:v>0</x:v>
      </x:c>
      <x:c r="I34" s="93">
        <x:v>0</x:v>
      </x:c>
      <x:c r="J34" s="226">
        <x:v>0</x:v>
      </x:c>
      <x:c r="K34" s="226">
        <x:v>0</x:v>
      </x:c>
      <x:c r="L34" s="226">
        <x:f>K34-J34</x:f>
        <x:v>0</x:v>
      </x:c>
    </x:row>
    <x:row r="35" spans="1:12" outlineLevel="1">
      <x:c r="A35" s="233" t="s">
        <x:v>932</x:v>
      </x:c>
      <x:c r="B35" s="234"/>
      <x:c r="C35" s="235"/>
      <x:c r="D35" s="236"/>
      <x:c r="E35" s="236"/>
      <x:c r="F35" s="237"/>
      <x:c r="G35" s="238">
        <x:f>SUBTOTAL(9,G34:G34)</x:f>
        <x:v>1</x:v>
      </x:c>
      <x:c r="H35" s="238">
        <x:f>SUBTOTAL(9,H34:H34)</x:f>
        <x:v>0</x:v>
      </x:c>
      <x:c r="I35" s="238">
        <x:f>SUBTOTAL(9,I34:I34)</x:f>
        <x:v>0</x:v>
      </x:c>
      <x:c r="J35" s="237">
        <x:f>H35/G35</x:f>
        <x:v>0</x:v>
      </x:c>
      <x:c r="K35" s="237">
        <x:f>I35/G35</x:f>
        <x:v>0</x:v>
      </x:c>
      <x:c r="L35" s="237">
        <x:f>K35-J35</x:f>
        <x:v>0</x:v>
      </x:c>
    </x:row>
    <x:row r="36" spans="1:12" outlineLevel="2">
      <x:c r="A36" s="230" t="s">
        <x:v>1524</x:v>
      </x:c>
      <x:c r="B36" s="231" t="s">
        <x:v>899</x:v>
      </x:c>
      <x:c r="C36" s="230" t="s">
        <x:v>906</x:v>
      </x:c>
      <x:c r="D36" s="232">
        <x:v>44346</x:v>
      </x:c>
      <x:c r="E36" s="232">
        <x:v>44357</x:v>
      </x:c>
      <x:c r="F36" s="226">
        <x:v>1.2</x:v>
      </x:c>
      <x:c r="G36" s="93">
        <x:v>10.800000000000001</x:v>
      </x:c>
      <x:c r="H36" s="93">
        <x:v>2.3999999999999999</x:v>
      </x:c>
      <x:c r="I36" s="93">
        <x:v>1.6200000000000001</x:v>
      </x:c>
      <x:c r="J36" s="226">
        <x:v>0.22222222222222221</x:v>
      </x:c>
      <x:c r="K36" s="226">
        <x:v>0.14999999999999999</x:v>
      </x:c>
      <x:c r="L36" s="241">
        <x:f>K36-J36</x:f>
        <x:v>-0.072222222222222215</x:v>
      </x:c>
    </x:row>
    <x:row r="37" spans="1:12" outlineLevel="1">
      <x:c r="A37" s="233" t="s">
        <x:v>933</x:v>
      </x:c>
      <x:c r="B37" s="234"/>
      <x:c r="C37" s="235"/>
      <x:c r="D37" s="236"/>
      <x:c r="E37" s="236"/>
      <x:c r="F37" s="237"/>
      <x:c r="G37" s="238">
        <x:f>SUBTOTAL(9,G36:G36)</x:f>
        <x:v>10.800000000000001</x:v>
      </x:c>
      <x:c r="H37" s="238">
        <x:f>SUBTOTAL(9,H36:H36)</x:f>
        <x:v>2.3999999999999999</x:v>
      </x:c>
      <x:c r="I37" s="238">
        <x:f>SUBTOTAL(9,I36:I36)</x:f>
        <x:v>1.6200000000000001</x:v>
      </x:c>
      <x:c r="J37" s="237">
        <x:f>H37/G37</x:f>
        <x:v>0.22222222222222221</x:v>
      </x:c>
      <x:c r="K37" s="237">
        <x:f>I37/G37</x:f>
        <x:v>0.14999999999999999</x:v>
      </x:c>
      <x:c r="L37" s="242">
        <x:f>K37-J37</x:f>
        <x:v>-0.072222222222222215</x:v>
      </x:c>
    </x:row>
    <x:row r="38" spans="1:12" outlineLevel="2">
      <x:c r="A38" s="230" t="s">
        <x:v>1538</x:v>
      </x:c>
      <x:c r="B38" s="231" t="s">
        <x:v>816</x:v>
      </x:c>
      <x:c r="C38" s="230" t="s">
        <x:v>882</x:v>
      </x:c>
      <x:c r="D38" s="232">
        <x:v>44361</x:v>
      </x:c>
      <x:c r="E38" s="232">
        <x:v>44365</x:v>
      </x:c>
      <x:c r="F38" s="226">
        <x:v>0.20000000000000001</x:v>
      </x:c>
      <x:c r="G38" s="93">
        <x:v>1</x:v>
      </x:c>
      <x:c r="H38" s="93">
        <x:v>0</x:v>
      </x:c>
      <x:c r="I38" s="93">
        <x:v>0.5</x:v>
      </x:c>
      <x:c r="J38" s="226">
        <x:v>0</x:v>
      </x:c>
      <x:c r="K38" s="226">
        <x:v>0.5</x:v>
      </x:c>
      <x:c r="L38" s="226">
        <x:f>K38-J38</x:f>
        <x:v>0.5</x:v>
      </x:c>
    </x:row>
    <x:row r="39" spans="1:12" outlineLevel="2">
      <x:c r="A39" s="230" t="s">
        <x:v>1538</x:v>
      </x:c>
      <x:c r="B39" s="231" t="s">
        <x:v>825</x:v>
      </x:c>
      <x:c r="C39" s="230" t="s">
        <x:v>862</x:v>
      </x:c>
      <x:c r="D39" s="232">
        <x:v>44393</x:v>
      </x:c>
      <x:c r="E39" s="232">
        <x:v>44393</x:v>
      </x:c>
      <x:c r="F39" s="226">
        <x:v>0.20000000000000001</x:v>
      </x:c>
      <x:c r="G39" s="93">
        <x:v>0.20000000000000001</x:v>
      </x:c>
      <x:c r="H39" s="93">
        <x:v>0</x:v>
      </x:c>
      <x:c r="I39" s="93">
        <x:v>0</x:v>
      </x:c>
      <x:c r="J39" s="226">
        <x:v>0</x:v>
      </x:c>
      <x:c r="K39" s="226">
        <x:v>0</x:v>
      </x:c>
      <x:c r="L39" s="226">
        <x:f>K39-J39</x:f>
        <x:v>0</x:v>
      </x:c>
    </x:row>
    <x:row r="40" spans="1:12" outlineLevel="2">
      <x:c r="A40" s="230" t="s">
        <x:v>1538</x:v>
      </x:c>
      <x:c r="B40" s="231" t="s">
        <x:v>863</x:v>
      </x:c>
      <x:c r="C40" s="230" t="s">
        <x:v>876</x:v>
      </x:c>
      <x:c r="D40" s="232">
        <x:v>44429</x:v>
      </x:c>
      <x:c r="E40" s="232">
        <x:v>44454</x:v>
      </x:c>
      <x:c r="F40" s="226">
        <x:v>0.20000000000000001</x:v>
      </x:c>
      <x:c r="G40" s="93">
        <x:v>3.6000000000000001</x:v>
      </x:c>
      <x:c r="H40" s="93">
        <x:v>0</x:v>
      </x:c>
      <x:c r="I40" s="93">
        <x:v>0</x:v>
      </x:c>
      <x:c r="J40" s="226">
        <x:v>0</x:v>
      </x:c>
      <x:c r="K40" s="226">
        <x:v>0</x:v>
      </x:c>
      <x:c r="L40" s="226">
        <x:f>K40-J40</x:f>
        <x:v>0</x:v>
      </x:c>
    </x:row>
    <x:row r="41" spans="1:12" outlineLevel="1">
      <x:c r="A41" s="233" t="s">
        <x:v>934</x:v>
      </x:c>
      <x:c r="B41" s="234"/>
      <x:c r="C41" s="235"/>
      <x:c r="D41" s="236"/>
      <x:c r="E41" s="236"/>
      <x:c r="F41" s="237"/>
      <x:c r="G41" s="238">
        <x:f>SUBTOTAL(9,G38:G40)</x:f>
        <x:v>4.7999999999999998</x:v>
      </x:c>
      <x:c r="H41" s="238">
        <x:f>SUBTOTAL(9,H38:H40)</x:f>
        <x:v>0</x:v>
      </x:c>
      <x:c r="I41" s="238">
        <x:f>SUBTOTAL(9,I38:I40)</x:f>
        <x:v>0.5</x:v>
      </x:c>
      <x:c r="J41" s="237">
        <x:f>H41/G41</x:f>
        <x:v>0</x:v>
      </x:c>
      <x:c r="K41" s="237">
        <x:f>I41/G41</x:f>
        <x:v>0.10416666666666667</x:v>
      </x:c>
      <x:c r="L41" s="237">
        <x:f>K41-J41</x:f>
        <x:v>0.10416666666666667</x:v>
      </x:c>
    </x:row>
    <x:row r="42" spans="1:12" outlineLevel="2">
      <x:c r="A42" s="230" t="s">
        <x:v>1512</x:v>
      </x:c>
      <x:c r="B42" s="231" t="s">
        <x:v>864</x:v>
      </x:c>
      <x:c r="C42" s="230" t="s">
        <x:v>867</x:v>
      </x:c>
      <x:c r="D42" s="232">
        <x:v>44487</x:v>
      </x:c>
      <x:c r="E42" s="232">
        <x:v>44487</x:v>
      </x:c>
      <x:c r="F42" s="226">
        <x:v>1</x:v>
      </x:c>
      <x:c r="G42" s="93">
        <x:v>1</x:v>
      </x:c>
      <x:c r="H42" s="93">
        <x:v>0</x:v>
      </x:c>
      <x:c r="I42" s="93">
        <x:v>0</x:v>
      </x:c>
      <x:c r="J42" s="226">
        <x:v>0</x:v>
      </x:c>
      <x:c r="K42" s="226">
        <x:v>0</x:v>
      </x:c>
      <x:c r="L42" s="226">
        <x:f>K42-J42</x:f>
        <x:v>0</x:v>
      </x:c>
    </x:row>
    <x:row r="43" spans="1:12" outlineLevel="1">
      <x:c r="A43" s="233" t="s">
        <x:v>935</x:v>
      </x:c>
      <x:c r="B43" s="234"/>
      <x:c r="C43" s="235"/>
      <x:c r="D43" s="236"/>
      <x:c r="E43" s="236"/>
      <x:c r="F43" s="237"/>
      <x:c r="G43" s="238">
        <x:f>SUBTOTAL(9,G42:G42)</x:f>
        <x:v>1</x:v>
      </x:c>
      <x:c r="H43" s="238">
        <x:f>SUBTOTAL(9,H42:H42)</x:f>
        <x:v>0</x:v>
      </x:c>
      <x:c r="I43" s="238">
        <x:f>SUBTOTAL(9,I42:I42)</x:f>
        <x:v>0</x:v>
      </x:c>
      <x:c r="J43" s="237">
        <x:f>H43/G43</x:f>
        <x:v>0</x:v>
      </x:c>
      <x:c r="K43" s="237">
        <x:f>I43/G43</x:f>
        <x:v>0</x:v>
      </x:c>
      <x:c r="L43" s="237">
        <x:f>K43-J43</x:f>
        <x:v>0</x:v>
      </x:c>
    </x:row>
    <x:row r="44" spans="1:12" outlineLevel="2">
      <x:c r="A44" s="230" t="s">
        <x:v>1511</x:v>
      </x:c>
      <x:c r="B44" s="231" t="s">
        <x:v>810</x:v>
      </x:c>
      <x:c r="C44" s="230" t="s">
        <x:v>889</x:v>
      </x:c>
      <x:c r="D44" s="232">
        <x:v>44336</x:v>
      </x:c>
      <x:c r="E44" s="232">
        <x:v>44337</x:v>
      </x:c>
      <x:c r="F44" s="226">
        <x:v>1</x:v>
      </x:c>
      <x:c r="G44" s="93">
        <x:v>2</x:v>
      </x:c>
      <x:c r="H44" s="93">
        <x:v>2</x:v>
      </x:c>
      <x:c r="I44" s="93">
        <x:v>2</x:v>
      </x:c>
      <x:c r="J44" s="226">
        <x:v>1</x:v>
      </x:c>
      <x:c r="K44" s="226">
        <x:v>1</x:v>
      </x:c>
      <x:c r="L44" s="226">
        <x:f>K44-J44</x:f>
        <x:v>0</x:v>
      </x:c>
    </x:row>
    <x:row r="45" spans="1:12" outlineLevel="2">
      <x:c r="A45" s="230" t="s">
        <x:v>1511</x:v>
      </x:c>
      <x:c r="B45" s="231" t="s">
        <x:v>890</x:v>
      </x:c>
      <x:c r="C45" s="230" t="s">
        <x:v>394</x:v>
      </x:c>
      <x:c r="D45" s="232">
        <x:v>44340</x:v>
      </x:c>
      <x:c r="E45" s="232">
        <x:v>44346</x:v>
      </x:c>
      <x:c r="F45" s="226">
        <x:v>1</x:v>
      </x:c>
      <x:c r="G45" s="93">
        <x:v>5</x:v>
      </x:c>
      <x:c r="H45" s="93">
        <x:v>5</x:v>
      </x:c>
      <x:c r="I45" s="93">
        <x:v>4.5</x:v>
      </x:c>
      <x:c r="J45" s="226">
        <x:v>1</x:v>
      </x:c>
      <x:c r="K45" s="226">
        <x:v>0.90000000000000002</x:v>
      </x:c>
      <x:c r="L45" s="241">
        <x:f>K45-J45</x:f>
        <x:v>-0.09999999999999998</x:v>
      </x:c>
    </x:row>
    <x:row r="46" spans="1:12" outlineLevel="2">
      <x:c r="A46" s="230" t="s">
        <x:v>1511</x:v>
      </x:c>
      <x:c r="B46" s="231" t="s">
        <x:v>874</x:v>
      </x:c>
      <x:c r="C46" s="230" t="s">
        <x:v>1363</x:v>
      </x:c>
      <x:c r="D46" s="232">
        <x:v>44358</x:v>
      </x:c>
      <x:c r="E46" s="232">
        <x:v>44358</x:v>
      </x:c>
      <x:c r="F46" s="226">
        <x:v>0</x:v>
      </x:c>
      <x:c r="G46" s="93">
        <x:v>0</x:v>
      </x:c>
      <x:c r="H46" s="93">
        <x:v>0</x:v>
      </x:c>
      <x:c r="I46" s="93">
        <x:v>0</x:v>
      </x:c>
      <x:c r="J46" s="226">
        <x:v>0</x:v>
      </x:c>
      <x:c r="K46" s="226">
        <x:v>0</x:v>
      </x:c>
      <x:c r="L46" s="226">
        <x:f>K46-J46</x:f>
        <x:v>0</x:v>
      </x:c>
    </x:row>
    <x:row r="47" spans="1:12" outlineLevel="2">
      <x:c r="A47" s="230" t="s">
        <x:v>1511</x:v>
      </x:c>
      <x:c r="B47" s="231" t="s">
        <x:v>821</x:v>
      </x:c>
      <x:c r="C47" s="230" t="s">
        <x:v>866</x:v>
      </x:c>
      <x:c r="D47" s="232">
        <x:v>44462</x:v>
      </x:c>
      <x:c r="E47" s="232">
        <x:v>44466</x:v>
      </x:c>
      <x:c r="F47" s="226">
        <x:v>1</x:v>
      </x:c>
      <x:c r="G47" s="93">
        <x:v>3</x:v>
      </x:c>
      <x:c r="H47" s="93">
        <x:v>0</x:v>
      </x:c>
      <x:c r="I47" s="93">
        <x:v>0</x:v>
      </x:c>
      <x:c r="J47" s="226">
        <x:v>0</x:v>
      </x:c>
      <x:c r="K47" s="226">
        <x:v>0</x:v>
      </x:c>
      <x:c r="L47" s="226">
        <x:f>K47-J47</x:f>
        <x:v>0</x:v>
      </x:c>
    </x:row>
    <x:row r="48" spans="1:12" outlineLevel="2">
      <x:c r="A48" s="230" t="s">
        <x:v>1511</x:v>
      </x:c>
      <x:c r="B48" s="231" t="s">
        <x:v>899</x:v>
      </x:c>
      <x:c r="C48" s="230" t="s">
        <x:v>906</x:v>
      </x:c>
      <x:c r="D48" s="232">
        <x:v>44346</x:v>
      </x:c>
      <x:c r="E48" s="232">
        <x:v>44357</x:v>
      </x:c>
      <x:c r="F48" s="226">
        <x:v>0.5</x:v>
      </x:c>
      <x:c r="G48" s="93">
        <x:v>4.5</x:v>
      </x:c>
      <x:c r="H48" s="93">
        <x:v>1</x:v>
      </x:c>
      <x:c r="I48" s="93">
        <x:v>0.67499999999999993</x:v>
      </x:c>
      <x:c r="J48" s="226">
        <x:v>0.22222222222222221</x:v>
      </x:c>
      <x:c r="K48" s="226">
        <x:v>0.14999999999999999</x:v>
      </x:c>
      <x:c r="L48" s="241">
        <x:f>K48-J48</x:f>
        <x:v>-0.072222222222222215</x:v>
      </x:c>
    </x:row>
    <x:row r="49" spans="1:12" outlineLevel="1">
      <x:c r="A49" s="233" t="s">
        <x:v>936</x:v>
      </x:c>
      <x:c r="B49" s="234"/>
      <x:c r="C49" s="235"/>
      <x:c r="D49" s="236"/>
      <x:c r="E49" s="236"/>
      <x:c r="F49" s="237"/>
      <x:c r="G49" s="238">
        <x:f>SUBTOTAL(9,G44:G48)</x:f>
        <x:v>14.5</x:v>
      </x:c>
      <x:c r="H49" s="238">
        <x:f>SUBTOTAL(9,H44:H48)</x:f>
        <x:v>8</x:v>
      </x:c>
      <x:c r="I49" s="238">
        <x:f>SUBTOTAL(9,I44:I48)</x:f>
        <x:v>7.1749999999999998</x:v>
      </x:c>
      <x:c r="J49" s="237">
        <x:f>H49/G49</x:f>
        <x:v>0.55172413793103448</x:v>
      </x:c>
      <x:c r="K49" s="237">
        <x:f>I49/G49</x:f>
        <x:v>0.49482758620689654</x:v>
      </x:c>
      <x:c r="L49" s="242">
        <x:f>K49-J49</x:f>
        <x:v>-0.056896551724137934</x:v>
      </x:c>
    </x:row>
    <x:row r="50" spans="1:12" outlineLevel="2">
      <x:c r="A50" s="230" t="s">
        <x:v>1479</x:v>
      </x:c>
      <x:c r="B50" s="231" t="s">
        <x:v>829</x:v>
      </x:c>
      <x:c r="C50" s="230" t="s">
        <x:v>393</x:v>
      </x:c>
      <x:c r="D50" s="232">
        <x:v>44469</x:v>
      </x:c>
      <x:c r="E50" s="232">
        <x:v>44487</x:v>
      </x:c>
      <x:c r="F50" s="226">
        <x:v>1</x:v>
      </x:c>
      <x:c r="G50" s="93">
        <x:v>13</x:v>
      </x:c>
      <x:c r="H50" s="93">
        <x:v>0</x:v>
      </x:c>
      <x:c r="I50" s="93">
        <x:v>0</x:v>
      </x:c>
      <x:c r="J50" s="226">
        <x:v>0</x:v>
      </x:c>
      <x:c r="K50" s="226">
        <x:v>0</x:v>
      </x:c>
      <x:c r="L50" s="226">
        <x:f>K50-J50</x:f>
        <x:v>0</x:v>
      </x:c>
    </x:row>
    <x:row r="51" spans="1:12" outlineLevel="1">
      <x:c r="A51" s="233" t="s">
        <x:v>938</x:v>
      </x:c>
      <x:c r="B51" s="234"/>
      <x:c r="C51" s="235"/>
      <x:c r="D51" s="236"/>
      <x:c r="E51" s="236"/>
      <x:c r="F51" s="237"/>
      <x:c r="G51" s="238">
        <x:f>SUBTOTAL(9,G50:G50)</x:f>
        <x:v>13</x:v>
      </x:c>
      <x:c r="H51" s="238">
        <x:f>SUBTOTAL(9,H50:H50)</x:f>
        <x:v>0</x:v>
      </x:c>
      <x:c r="I51" s="238">
        <x:f>SUBTOTAL(9,I50:I50)</x:f>
        <x:v>0</x:v>
      </x:c>
      <x:c r="J51" s="237">
        <x:f>H51/G51</x:f>
        <x:v>0</x:v>
      </x:c>
      <x:c r="K51" s="237">
        <x:f>I51/G51</x:f>
        <x:v>0</x:v>
      </x:c>
      <x:c r="L51" s="237">
        <x:f>K51-J51</x:f>
        <x:v>0</x:v>
      </x:c>
    </x:row>
    <x:row r="52" spans="10:12" outlineLevel="1">
      <x:c r="J52" s="226"/>
      <x:c r="K52" s="226"/>
      <x:c r="L52" s="226"/>
    </x:row>
    <x:row r="53" spans="1:12" outlineLevel="1">
      <x:c r="A53" s="239" t="s">
        <x:v>1549</x:v>
      </x:c>
      <x:c r="B53" s="240"/>
      <x:c r="C53" s="240"/>
      <x:c r="D53" s="240"/>
      <x:c r="E53" s="240"/>
      <x:c r="F53" s="237"/>
      <x:c r="G53" s="238">
        <x:f>SUBTOTAL(9,G7:G52)</x:f>
        <x:v>286.10000000000002</x:v>
      </x:c>
      <x:c r="H53" s="238">
        <x:f>SUBTOTAL(9,H7:H52)</x:f>
        <x:v>21.399999999999999</x:v>
      </x:c>
      <x:c r="I53" s="238">
        <x:f>SUBTOTAL(9,I7:I52)</x:f>
        <x:v>28.095000000000002</x:v>
      </x:c>
      <x:c r="J53" s="237">
        <x:f>H53/G53</x:f>
        <x:v>0.074799021321216352</x:v>
      </x:c>
      <x:c r="K53" s="237">
        <x:f>I53/G53</x:f>
        <x:v>0.098199930094372598</x:v>
      </x:c>
      <x:c r="L53" s="237">
        <x:f>K53-J53</x:f>
        <x:v>0.023400908773156245</x:v>
      </x:c>
    </x:row>
  </x:sheetData>
  <x:sortState columnSort="0" caseSensitive="0" ref="A7:M50">
    <x:sortCondition descending="0" sortBy="value" ref="A7:A56"/>
    <x:sortCondition descending="0" sortBy="value" ref="B7:B56"/>
  </x:sortState>
  <x:hyperlinks>
    <x:hyperlink ref="B44:B44" location=""/>
    <x:hyperlink ref="B31:B31" location=""/>
    <x:hyperlink ref="B45:B45" location=""/>
    <x:hyperlink ref="B46:B46" location=""/>
    <x:hyperlink ref="B38:B38" location=""/>
    <x:hyperlink ref="B39:B39" location=""/>
    <x:hyperlink ref="B40:B40" location=""/>
    <x:hyperlink ref="B7:B7" location=""/>
    <x:hyperlink ref="B32:B32" location=""/>
    <x:hyperlink ref="B47:B47" location=""/>
    <x:hyperlink ref="B50:B50" location=""/>
    <x:hyperlink ref="B34:B34" location=""/>
    <x:hyperlink ref="B42:B42" location=""/>
    <x:hyperlink ref="B8:B8" location=""/>
    <x:hyperlink ref="B9:B9" location=""/>
    <x:hyperlink ref="B10:B10" location=""/>
    <x:hyperlink ref="B36:B36" location=""/>
    <x:hyperlink ref="B48:B48" location=""/>
    <x:hyperlink ref="B11:B11" location=""/>
    <x:hyperlink ref="B12:B12" location=""/>
    <x:hyperlink ref="B13:B13" location=""/>
    <x:hyperlink ref="B14:B14" location=""/>
    <x:hyperlink ref="B15:B15" location=""/>
    <x:hyperlink ref="B16:B16" location=""/>
    <x:hyperlink ref="B17:B17" location=""/>
    <x:hyperlink ref="B18:B18" location=""/>
    <x:hyperlink ref="B19:B19" location=""/>
    <x:hyperlink ref="B20:B20" location=""/>
    <x:hyperlink ref="B21:B21" location=""/>
    <x:hyperlink ref="B22:B22" location=""/>
    <x:hyperlink ref="B23:B23" location=""/>
    <x:hyperlink ref="B24:B24" location=""/>
    <x:hyperlink ref="B25:B25" location=""/>
    <x:hyperlink ref="B26:B26" location=""/>
    <x:hyperlink ref="B27:B27" location=""/>
    <x:hyperlink ref="B28:B28" location=""/>
    <x:hyperlink ref="B29:B29" location=""/>
  </x:hyperlinks>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30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3">
    <x:tabColor rgb="ffffc000"/>
  </x:sheetPr>
  <x:dimension ref="A1:J305"/>
  <x:sheetViews>
    <x:sheetView showGridLines="0" topLeftCell="A1" zoomScale="85" zoomScaleNormal="85" zoomScaleSheetLayoutView="75" workbookViewId="0">
      <x:pane xSplit="0" ySplit="1" topLeftCell="A2" activePane="bottomLeft" state="frozen"/>
      <x:selection pane="bottomLeft" activeCell="A1" activeCellId="0" sqref="A1:A1"/>
    </x:sheetView>
  </x:sheetViews>
  <x:sheetFormatPr defaultColWidth="10" defaultRowHeight="14.199999999999999"/>
  <x:cols>
    <x:col min="1" max="1" width="31.625" style="69" customWidth="1"/>
    <x:col min="2" max="2" width="14.5" style="69" customWidth="1"/>
    <x:col min="3" max="3" width="7.625" style="69" customWidth="1"/>
    <x:col min="4" max="4" width="21.5" style="69" customWidth="1"/>
    <x:col min="5" max="5" width="14.125" style="69" customWidth="1"/>
    <x:col min="6" max="6" width="10" style="69"/>
    <x:col min="7" max="7" width="24.25" style="69" customWidth="1"/>
    <x:col min="8" max="8" width="18.375" style="69" bestFit="1" customWidth="1"/>
    <x:col min="9" max="9" width="11.125" style="69" bestFit="1" customWidth="1"/>
    <x:col min="10" max="10" width="27.375" style="69" bestFit="1" customWidth="1"/>
    <x:col min="11" max="19" width="10" style="69"/>
    <x:col min="20" max="23" width="10" style="69" customWidth="1"/>
    <x:col min="24" max="26" width="10" style="69"/>
    <x:col min="27" max="27" width="0" style="69" hidden="1" customWidth="1"/>
    <x:col min="28" max="16384" width="10" style="69"/>
  </x:cols>
  <x:sheetData>
    <x:row r="1" spans="1:8" s="65" customFormat="1" ht="36.950000000000003" customHeight="1">
      <x:c r="A1" s="2" t="s">
        <x:v>623</x:v>
      </x:c>
      <x:c r="B1" s="2"/>
      <x:c r="C1" s="2"/>
      <x:c r="D1" s="2"/>
      <x:c r="E1" s="2"/>
      <x:c r="F1" s="2"/>
      <x:c r="G1" s="2"/>
      <x:c r="H1" s="2"/>
    </x:row>
    <x:row r="2" spans="1:8" s="66" customFormat="1" ht="78.75" customHeight="1">
      <x:c r="A2" s="297" t="s">
        <x:v>42</x:v>
      </x:c>
      <x:c r="B2" s="297"/>
      <x:c r="C2" s="297"/>
      <x:c r="D2" s="297"/>
      <x:c r="E2" s="297"/>
      <x:c r="F2" s="297"/>
      <x:c r="G2" s="297"/>
      <x:c r="H2" s="297"/>
    </x:row>
    <x:row r="3" spans="1:8" s="66" customFormat="1" ht="24.75" customHeight="1">
      <x:c r="A3" s="298" t="s">
        <x:v>773</x:v>
      </x:c>
      <x:c r="B3" s="298"/>
      <x:c r="D3" s="298" t="s">
        <x:v>1223</x:v>
      </x:c>
      <x:c r="E3" s="298"/>
      <x:c r="G3" s="298" t="s">
        <x:v>1228</x:v>
      </x:c>
      <x:c r="H3" s="298"/>
    </x:row>
    <x:row r="4" spans="1:8" s="68" customFormat="1" ht="19.5" customHeight="1">
      <x:c r="A4" s="67" t="s">
        <x:v>775</x:v>
      </x:c>
      <x:c r="B4" s="67" t="s">
        <x:v>777</x:v>
      </x:c>
      <x:c r="D4" s="67" t="s">
        <x:v>775</x:v>
      </x:c>
      <x:c r="E4" s="67" t="s">
        <x:v>777</x:v>
      </x:c>
      <x:c r="G4" s="67" t="s">
        <x:v>775</x:v>
      </x:c>
      <x:c r="H4" s="67" t="s">
        <x:v>777</x:v>
      </x:c>
    </x:row>
    <x:row r="5" spans="1:9" s="98" customFormat="1" ht="16.399999999999999">
      <x:c r="A5" s="96" t="s">
        <x:v>419</x:v>
      </x:c>
      <x:c r="B5" s="97">
        <x:v>43831</x:v>
      </x:c>
      <x:c r="C5" s="98" t="str">
        <x:f t="shared" ref="C5:C68" si="0">IF(B5&gt;0,TEXT(B5,"(aaa)"),"")</x:f>
        <x:v>(수)</x:v>
      </x:c>
      <x:c r="D5" s="99"/>
      <x:c r="E5" s="100"/>
      <x:c r="F5" s="98" t="str">
        <x:f t="shared" ref="F5:F68" si="1">IF(E5&gt;0,TEXT(E5,"(aaa)"),"")</x:f>
        <x:v/>
      </x:c>
      <x:c r="G5" s="99"/>
      <x:c r="H5" s="100"/>
      <x:c r="I5" s="98" t="str">
        <x:f t="shared" ref="I5:I68" si="2">IF(H5&gt;0,TEXT(H5,"(aaa)"),"")</x:f>
        <x:v/>
      </x:c>
    </x:row>
    <x:row r="6" spans="1:9" s="98" customFormat="1" ht="16.399999999999999">
      <x:c r="A6" s="96" t="s">
        <x:v>418</x:v>
      </x:c>
      <x:c r="B6" s="97">
        <x:v>43854</x:v>
      </x:c>
      <x:c r="C6" s="98" t="str">
        <x:f t="shared" si="0"/>
        <x:v>(금)</x:v>
      </x:c>
      <x:c r="D6" s="99"/>
      <x:c r="E6" s="100"/>
      <x:c r="F6" s="98" t="str">
        <x:f t="shared" si="1"/>
        <x:v/>
      </x:c>
      <x:c r="G6" s="99"/>
      <x:c r="H6" s="100"/>
      <x:c r="I6" s="98" t="str">
        <x:f t="shared" si="2"/>
        <x:v/>
      </x:c>
    </x:row>
    <x:row r="7" spans="1:9" s="98" customFormat="1" ht="16.399999999999999">
      <x:c r="A7" s="96" t="s">
        <x:v>1372</x:v>
      </x:c>
      <x:c r="B7" s="97">
        <x:v>43857</x:v>
      </x:c>
      <x:c r="C7" s="98" t="str">
        <x:f t="shared" si="0"/>
        <x:v>(월)</x:v>
      </x:c>
      <x:c r="D7" s="99"/>
      <x:c r="E7" s="100"/>
      <x:c r="F7" s="98" t="str">
        <x:f t="shared" si="1"/>
        <x:v/>
      </x:c>
      <x:c r="G7" s="99"/>
      <x:c r="H7" s="100"/>
      <x:c r="I7" s="98" t="str">
        <x:f t="shared" si="2"/>
        <x:v/>
      </x:c>
    </x:row>
    <x:row r="8" spans="1:9" s="98" customFormat="1" ht="16.399999999999999">
      <x:c r="A8" s="96" t="s">
        <x:v>1359</x:v>
      </x:c>
      <x:c r="B8" s="97">
        <x:v>43936</x:v>
      </x:c>
      <x:c r="C8" s="98" t="str">
        <x:f t="shared" si="0"/>
        <x:v>(수)</x:v>
      </x:c>
      <x:c r="D8" s="99"/>
      <x:c r="E8" s="100"/>
      <x:c r="F8" s="98" t="str">
        <x:f t="shared" si="1"/>
        <x:v/>
      </x:c>
      <x:c r="G8" s="99"/>
      <x:c r="H8" s="100"/>
      <x:c r="I8" s="98" t="str">
        <x:f t="shared" si="2"/>
        <x:v/>
      </x:c>
    </x:row>
    <x:row r="9" spans="1:9" s="98" customFormat="1" ht="16.399999999999999">
      <x:c r="A9" s="96" t="s">
        <x:v>1368</x:v>
      </x:c>
      <x:c r="B9" s="97">
        <x:v>43951</x:v>
      </x:c>
      <x:c r="C9" s="98" t="str">
        <x:f t="shared" si="0"/>
        <x:v>(목)</x:v>
      </x:c>
      <x:c r="D9" s="99"/>
      <x:c r="E9" s="100"/>
      <x:c r="F9" s="98" t="str">
        <x:f t="shared" si="1"/>
        <x:v/>
      </x:c>
      <x:c r="G9" s="99"/>
      <x:c r="H9" s="100"/>
      <x:c r="I9" s="98" t="str">
        <x:f t="shared" si="2"/>
        <x:v/>
      </x:c>
    </x:row>
    <x:row r="10" spans="1:9" s="98" customFormat="1" ht="16.399999999999999">
      <x:c r="A10" s="96" t="s">
        <x:v>444</x:v>
      </x:c>
      <x:c r="B10" s="97">
        <x:v>43956</x:v>
      </x:c>
      <x:c r="C10" s="98" t="str">
        <x:f t="shared" si="0"/>
        <x:v>(화)</x:v>
      </x:c>
      <x:c r="D10" s="99"/>
      <x:c r="E10" s="100"/>
      <x:c r="F10" s="98" t="str">
        <x:f t="shared" si="1"/>
        <x:v/>
      </x:c>
      <x:c r="G10" s="99"/>
      <x:c r="H10" s="100"/>
      <x:c r="I10" s="98" t="str">
        <x:f t="shared" si="2"/>
        <x:v/>
      </x:c>
    </x:row>
    <x:row r="11" spans="1:9" s="98" customFormat="1" ht="16.399999999999999">
      <x:c r="A11" s="96" t="s">
        <x:v>1360</x:v>
      </x:c>
      <x:c r="B11" s="97">
        <x:v>44060</x:v>
      </x:c>
      <x:c r="C11" s="98" t="str">
        <x:f t="shared" si="0"/>
        <x:v>(월)</x:v>
      </x:c>
      <x:c r="D11" s="99"/>
      <x:c r="E11" s="100"/>
      <x:c r="F11" s="98" t="str">
        <x:f t="shared" si="1"/>
        <x:v/>
      </x:c>
      <x:c r="G11" s="99"/>
      <x:c r="H11" s="100"/>
      <x:c r="I11" s="98" t="str">
        <x:f t="shared" si="2"/>
        <x:v/>
      </x:c>
    </x:row>
    <x:row r="12" spans="1:9" s="98" customFormat="1" ht="16.399999999999999">
      <x:c r="A12" s="96" t="s">
        <x:v>438</x:v>
      </x:c>
      <x:c r="B12" s="97">
        <x:v>44104</x:v>
      </x:c>
      <x:c r="C12" s="98" t="str">
        <x:f t="shared" si="0"/>
        <x:v>(수)</x:v>
      </x:c>
      <x:c r="D12" s="99"/>
      <x:c r="E12" s="100"/>
      <x:c r="F12" s="98" t="str">
        <x:f t="shared" si="1"/>
        <x:v/>
      </x:c>
      <x:c r="G12" s="99"/>
      <x:c r="H12" s="100"/>
      <x:c r="I12" s="98" t="str">
        <x:f t="shared" si="2"/>
        <x:v/>
      </x:c>
    </x:row>
    <x:row r="13" spans="1:9" s="98" customFormat="1" ht="16.399999999999999">
      <x:c r="A13" s="96" t="s">
        <x:v>439</x:v>
      </x:c>
      <x:c r="B13" s="97">
        <x:v>44105</x:v>
      </x:c>
      <x:c r="C13" s="98" t="str">
        <x:f t="shared" si="0"/>
        <x:v>(목)</x:v>
      </x:c>
      <x:c r="D13" s="99"/>
      <x:c r="E13" s="100"/>
      <x:c r="F13" s="98" t="str">
        <x:f t="shared" si="1"/>
        <x:v/>
      </x:c>
      <x:c r="G13" s="99"/>
      <x:c r="H13" s="100"/>
      <x:c r="I13" s="98" t="str">
        <x:f t="shared" si="2"/>
        <x:v/>
      </x:c>
    </x:row>
    <x:row r="14" spans="1:9" s="98" customFormat="1" ht="16.399999999999999">
      <x:c r="A14" s="96" t="s">
        <x:v>438</x:v>
      </x:c>
      <x:c r="B14" s="97">
        <x:v>44106</x:v>
      </x:c>
      <x:c r="C14" s="98" t="str">
        <x:f t="shared" si="0"/>
        <x:v>(금)</x:v>
      </x:c>
      <x:c r="D14" s="99"/>
      <x:c r="E14" s="100"/>
      <x:c r="F14" s="98" t="str">
        <x:f t="shared" si="1"/>
        <x:v/>
      </x:c>
      <x:c r="G14" s="99"/>
      <x:c r="H14" s="100"/>
      <x:c r="I14" s="98" t="str">
        <x:f t="shared" si="2"/>
        <x:v/>
      </x:c>
    </x:row>
    <x:row r="15" spans="1:9" s="98" customFormat="1" ht="16.399999999999999">
      <x:c r="A15" s="96" t="s">
        <x:v>445</x:v>
      </x:c>
      <x:c r="B15" s="97">
        <x:v>44113</x:v>
      </x:c>
      <x:c r="C15" s="98" t="str">
        <x:f t="shared" si="0"/>
        <x:v>(금)</x:v>
      </x:c>
      <x:c r="D15" s="99"/>
      <x:c r="E15" s="100"/>
      <x:c r="F15" s="98" t="str">
        <x:f t="shared" si="1"/>
        <x:v/>
      </x:c>
      <x:c r="G15" s="99"/>
      <x:c r="H15" s="100"/>
      <x:c r="I15" s="98" t="str">
        <x:f t="shared" si="2"/>
        <x:v/>
      </x:c>
    </x:row>
    <x:row r="16" spans="1:9" s="98" customFormat="1" ht="16.399999999999999">
      <x:c r="A16" s="96" t="s">
        <x:v>447</x:v>
      </x:c>
      <x:c r="B16" s="97">
        <x:v>44190</x:v>
      </x:c>
      <x:c r="C16" s="98" t="str">
        <x:f t="shared" si="0"/>
        <x:v>(금)</x:v>
      </x:c>
      <x:c r="D16" s="99"/>
      <x:c r="E16" s="100"/>
      <x:c r="F16" s="98" t="str">
        <x:f t="shared" si="1"/>
        <x:v/>
      </x:c>
      <x:c r="G16" s="99"/>
      <x:c r="H16" s="100"/>
      <x:c r="I16" s="98" t="str">
        <x:f t="shared" si="2"/>
        <x:v/>
      </x:c>
    </x:row>
    <x:row r="17" spans="1:9" s="98" customFormat="1" ht="16.399999999999999">
      <x:c r="A17" s="96" t="s">
        <x:v>442</x:v>
      </x:c>
      <x:c r="B17" s="97">
        <x:v>44197</x:v>
      </x:c>
      <x:c r="C17" s="98" t="str">
        <x:f t="shared" si="0"/>
        <x:v>(금)</x:v>
      </x:c>
      <x:c r="D17" s="99"/>
      <x:c r="E17" s="100"/>
      <x:c r="F17" s="98" t="str">
        <x:f t="shared" si="1"/>
        <x:v/>
      </x:c>
      <x:c r="G17" s="99"/>
      <x:c r="H17" s="100"/>
      <x:c r="I17" s="98" t="str">
        <x:f t="shared" si="2"/>
        <x:v/>
      </x:c>
    </x:row>
    <x:row r="18" spans="1:9" s="98" customFormat="1" ht="16.399999999999999">
      <x:c r="A18" s="96" t="s">
        <x:v>440</x:v>
      </x:c>
      <x:c r="B18" s="97">
        <x:v>44238</x:v>
      </x:c>
      <x:c r="C18" s="98" t="str">
        <x:f t="shared" si="0"/>
        <x:v>(목)</x:v>
      </x:c>
      <x:c r="D18" s="99"/>
      <x:c r="E18" s="100"/>
      <x:c r="F18" s="98" t="str">
        <x:f t="shared" si="1"/>
        <x:v/>
      </x:c>
      <x:c r="G18" s="99"/>
      <x:c r="H18" s="100"/>
      <x:c r="I18" s="98" t="str">
        <x:f t="shared" si="2"/>
        <x:v/>
      </x:c>
    </x:row>
    <x:row r="19" spans="1:10" s="98" customFormat="1" ht="17.800000000000001">
      <x:c r="A19" s="96" t="s">
        <x:v>446</x:v>
      </x:c>
      <x:c r="B19" s="97">
        <x:v>44239</x:v>
      </x:c>
      <x:c r="C19" s="98" t="str">
        <x:f t="shared" si="0"/>
        <x:v>(금)</x:v>
      </x:c>
      <x:c r="D19" s="99"/>
      <x:c r="E19" s="100"/>
      <x:c r="F19" s="98" t="str">
        <x:f t="shared" si="1"/>
        <x:v/>
      </x:c>
      <x:c r="G19" s="99"/>
      <x:c r="H19" s="100"/>
      <x:c r="I19" s="98" t="str">
        <x:f t="shared" si="2"/>
        <x:v/>
      </x:c>
      <x:c r="J19" s="101"/>
    </x:row>
    <x:row r="20" spans="1:10" s="98" customFormat="1" ht="17.800000000000001">
      <x:c r="A20" s="96" t="s">
        <x:v>441</x:v>
      </x:c>
      <x:c r="B20" s="97">
        <x:v>44256</x:v>
      </x:c>
      <x:c r="C20" s="98" t="str">
        <x:f t="shared" si="0"/>
        <x:v>(월)</x:v>
      </x:c>
      <x:c r="D20" s="99"/>
      <x:c r="E20" s="100"/>
      <x:c r="F20" s="98" t="str">
        <x:f t="shared" si="1"/>
        <x:v/>
      </x:c>
      <x:c r="G20" s="99"/>
      <x:c r="H20" s="100"/>
      <x:c r="I20" s="98" t="str">
        <x:f t="shared" si="2"/>
        <x:v/>
      </x:c>
      <x:c r="J20" s="101"/>
    </x:row>
    <x:row r="21" spans="1:9" s="98" customFormat="1" ht="16.399999999999999">
      <x:c r="A21" s="96" t="s">
        <x:v>443</x:v>
      </x:c>
      <x:c r="B21" s="97">
        <x:v>44321</x:v>
      </x:c>
      <x:c r="C21" s="98" t="str">
        <x:f t="shared" si="0"/>
        <x:v>(수)</x:v>
      </x:c>
      <x:c r="D21" s="99"/>
      <x:c r="E21" s="100"/>
      <x:c r="F21" s="98" t="str">
        <x:f t="shared" si="1"/>
        <x:v/>
      </x:c>
      <x:c r="G21" s="99"/>
      <x:c r="H21" s="100"/>
      <x:c r="I21" s="98" t="str">
        <x:f t="shared" si="2"/>
        <x:v/>
      </x:c>
    </x:row>
    <x:row r="22" spans="1:9" s="98" customFormat="1" ht="16.399999999999999">
      <x:c r="A22" s="96" t="s">
        <x:v>1367</x:v>
      </x:c>
      <x:c r="B22" s="97">
        <x:v>44335</x:v>
      </x:c>
      <x:c r="C22" s="98" t="str">
        <x:f t="shared" si="0"/>
        <x:v>(수)</x:v>
      </x:c>
      <x:c r="D22" s="99"/>
      <x:c r="E22" s="100"/>
      <x:c r="F22" s="98" t="str">
        <x:f t="shared" si="1"/>
        <x:v/>
      </x:c>
      <x:c r="G22" s="99"/>
      <x:c r="H22" s="100"/>
      <x:c r="I22" s="98" t="str">
        <x:f t="shared" si="2"/>
        <x:v/>
      </x:c>
    </x:row>
    <x:row r="23" spans="1:9" s="98" customFormat="1" ht="16.399999999999999">
      <x:c r="A23" s="96" t="s">
        <x:v>455</x:v>
      </x:c>
      <x:c r="B23" s="97">
        <x:v>44459</x:v>
      </x:c>
      <x:c r="C23" s="98" t="str">
        <x:f t="shared" si="0"/>
        <x:v>(월)</x:v>
      </x:c>
      <x:c r="D23" s="99"/>
      <x:c r="E23" s="100"/>
      <x:c r="F23" s="98" t="str">
        <x:f t="shared" si="1"/>
        <x:v/>
      </x:c>
      <x:c r="G23" s="99"/>
      <x:c r="H23" s="100"/>
      <x:c r="I23" s="98" t="str">
        <x:f t="shared" si="2"/>
        <x:v/>
      </x:c>
    </x:row>
    <x:row r="24" spans="1:9" s="98" customFormat="1" ht="16.399999999999999">
      <x:c r="A24" s="96" t="s">
        <x:v>450</x:v>
      </x:c>
      <x:c r="B24" s="97">
        <x:v>44460</x:v>
      </x:c>
      <x:c r="C24" s="98" t="str">
        <x:f t="shared" si="0"/>
        <x:v>(화)</x:v>
      </x:c>
      <x:c r="D24" s="99"/>
      <x:c r="E24" s="100"/>
      <x:c r="F24" s="98" t="str">
        <x:f t="shared" si="1"/>
        <x:v/>
      </x:c>
      <x:c r="G24" s="99"/>
      <x:c r="H24" s="100"/>
      <x:c r="I24" s="98" t="str">
        <x:f t="shared" si="2"/>
        <x:v/>
      </x:c>
    </x:row>
    <x:row r="25" spans="1:9" s="98" customFormat="1" ht="16.399999999999999">
      <x:c r="A25" s="96" t="s">
        <x:v>455</x:v>
      </x:c>
      <x:c r="B25" s="97">
        <x:v>44461</x:v>
      </x:c>
      <x:c r="C25" s="98" t="str">
        <x:f t="shared" si="0"/>
        <x:v>(수)</x:v>
      </x:c>
      <x:c r="D25" s="99"/>
      <x:c r="E25" s="100"/>
      <x:c r="F25" s="98" t="str">
        <x:f t="shared" si="1"/>
        <x:v/>
      </x:c>
      <x:c r="G25" s="99"/>
      <x:c r="H25" s="100"/>
      <x:c r="I25" s="98" t="str">
        <x:f t="shared" si="2"/>
        <x:v/>
      </x:c>
    </x:row>
    <x:row r="26" spans="1:9" s="98" customFormat="1" ht="16.399999999999999">
      <x:c r="A26" s="96"/>
      <x:c r="B26" s="97"/>
      <x:c r="C26" s="98" t="str">
        <x:f t="shared" si="0"/>
        <x:v/>
      </x:c>
      <x:c r="D26" s="99"/>
      <x:c r="E26" s="100"/>
      <x:c r="F26" s="98" t="str">
        <x:f t="shared" si="1"/>
        <x:v/>
      </x:c>
      <x:c r="G26" s="99"/>
      <x:c r="H26" s="100"/>
      <x:c r="I26" s="98" t="str">
        <x:f t="shared" si="2"/>
        <x:v/>
      </x:c>
    </x:row>
    <x:row r="27" spans="1:9" s="98" customFormat="1" ht="16.399999999999999">
      <x:c r="A27" s="96"/>
      <x:c r="B27" s="97"/>
      <x:c r="C27" s="98" t="str">
        <x:f t="shared" si="0"/>
        <x:v/>
      </x:c>
      <x:c r="D27" s="99"/>
      <x:c r="E27" s="100"/>
      <x:c r="F27" s="98" t="str">
        <x:f t="shared" si="1"/>
        <x:v/>
      </x:c>
      <x:c r="G27" s="99"/>
      <x:c r="H27" s="100"/>
      <x:c r="I27" s="98" t="str">
        <x:f t="shared" si="2"/>
        <x:v/>
      </x:c>
    </x:row>
    <x:row r="28" spans="1:9" s="98" customFormat="1" ht="16.399999999999999">
      <x:c r="A28" s="96"/>
      <x:c r="B28" s="97"/>
      <x:c r="C28" s="98" t="str">
        <x:f t="shared" si="0"/>
        <x:v/>
      </x:c>
      <x:c r="D28" s="99"/>
      <x:c r="E28" s="100"/>
      <x:c r="F28" s="98" t="str">
        <x:f t="shared" si="1"/>
        <x:v/>
      </x:c>
      <x:c r="G28" s="99"/>
      <x:c r="H28" s="100"/>
      <x:c r="I28" s="98" t="str">
        <x:f t="shared" si="2"/>
        <x:v/>
      </x:c>
    </x:row>
    <x:row r="29" spans="1:9" s="98" customFormat="1" ht="16.399999999999999">
      <x:c r="A29" s="96"/>
      <x:c r="B29" s="97"/>
      <x:c r="C29" s="98" t="str">
        <x:f t="shared" si="0"/>
        <x:v/>
      </x:c>
      <x:c r="D29" s="99"/>
      <x:c r="E29" s="100"/>
      <x:c r="F29" s="98" t="str">
        <x:f t="shared" si="1"/>
        <x:v/>
      </x:c>
      <x:c r="G29" s="99"/>
      <x:c r="H29" s="100"/>
      <x:c r="I29" s="98" t="str">
        <x:f t="shared" si="2"/>
        <x:v/>
      </x:c>
    </x:row>
    <x:row r="30" spans="1:9" s="98" customFormat="1" ht="16.399999999999999">
      <x:c r="A30" s="96"/>
      <x:c r="B30" s="97"/>
      <x:c r="C30" s="98" t="str">
        <x:f t="shared" si="0"/>
        <x:v/>
      </x:c>
      <x:c r="D30" s="99"/>
      <x:c r="E30" s="100"/>
      <x:c r="F30" s="98" t="str">
        <x:f t="shared" si="1"/>
        <x:v/>
      </x:c>
      <x:c r="G30" s="99"/>
      <x:c r="H30" s="100"/>
      <x:c r="I30" s="98" t="str">
        <x:f t="shared" si="2"/>
        <x:v/>
      </x:c>
    </x:row>
    <x:row r="31" spans="1:9" s="98" customFormat="1" ht="16.399999999999999">
      <x:c r="A31" s="96"/>
      <x:c r="B31" s="97"/>
      <x:c r="C31" s="98" t="str">
        <x:f t="shared" si="0"/>
        <x:v/>
      </x:c>
      <x:c r="D31" s="99"/>
      <x:c r="E31" s="100"/>
      <x:c r="F31" s="98" t="str">
        <x:f t="shared" si="1"/>
        <x:v/>
      </x:c>
      <x:c r="G31" s="99"/>
      <x:c r="H31" s="100"/>
      <x:c r="I31" s="98" t="str">
        <x:f t="shared" si="2"/>
        <x:v/>
      </x:c>
    </x:row>
    <x:row r="32" spans="1:9" s="98" customFormat="1" ht="16.399999999999999">
      <x:c r="A32" s="96"/>
      <x:c r="B32" s="97"/>
      <x:c r="C32" s="98" t="str">
        <x:f t="shared" si="0"/>
        <x:v/>
      </x:c>
      <x:c r="D32" s="99"/>
      <x:c r="E32" s="100"/>
      <x:c r="F32" s="98" t="str">
        <x:f t="shared" si="1"/>
        <x:v/>
      </x:c>
      <x:c r="G32" s="99"/>
      <x:c r="H32" s="100"/>
      <x:c r="I32" s="98" t="str">
        <x:f t="shared" si="2"/>
        <x:v/>
      </x:c>
    </x:row>
    <x:row r="33" spans="1:9" s="98" customFormat="1" ht="16.399999999999999">
      <x:c r="A33" s="96"/>
      <x:c r="B33" s="97"/>
      <x:c r="C33" s="98" t="str">
        <x:f t="shared" si="0"/>
        <x:v/>
      </x:c>
      <x:c r="D33" s="99"/>
      <x:c r="E33" s="100"/>
      <x:c r="F33" s="98" t="str">
        <x:f t="shared" si="1"/>
        <x:v/>
      </x:c>
      <x:c r="G33" s="99"/>
      <x:c r="H33" s="100"/>
      <x:c r="I33" s="98" t="str">
        <x:f t="shared" si="2"/>
        <x:v/>
      </x:c>
    </x:row>
    <x:row r="34" spans="1:9" s="98" customFormat="1" ht="16.399999999999999">
      <x:c r="A34" s="96"/>
      <x:c r="B34" s="97"/>
      <x:c r="C34" s="98" t="str">
        <x:f t="shared" si="0"/>
        <x:v/>
      </x:c>
      <x:c r="D34" s="99"/>
      <x:c r="E34" s="100"/>
      <x:c r="F34" s="98" t="str">
        <x:f t="shared" si="1"/>
        <x:v/>
      </x:c>
      <x:c r="G34" s="99"/>
      <x:c r="H34" s="100"/>
      <x:c r="I34" s="98" t="str">
        <x:f t="shared" si="2"/>
        <x:v/>
      </x:c>
    </x:row>
    <x:row r="35" spans="1:9" s="98" customFormat="1" ht="16.399999999999999">
      <x:c r="A35" s="96"/>
      <x:c r="B35" s="97"/>
      <x:c r="C35" s="98" t="str">
        <x:f t="shared" si="0"/>
        <x:v/>
      </x:c>
      <x:c r="D35" s="99"/>
      <x:c r="E35" s="100"/>
      <x:c r="F35" s="98" t="str">
        <x:f t="shared" si="1"/>
        <x:v/>
      </x:c>
      <x:c r="G35" s="99"/>
      <x:c r="H35" s="100"/>
      <x:c r="I35" s="98" t="str">
        <x:f t="shared" si="2"/>
        <x:v/>
      </x:c>
    </x:row>
    <x:row r="36" spans="1:9" s="98" customFormat="1" ht="16.399999999999999">
      <x:c r="A36" s="96"/>
      <x:c r="B36" s="97"/>
      <x:c r="C36" s="98" t="str">
        <x:f t="shared" si="0"/>
        <x:v/>
      </x:c>
      <x:c r="D36" s="99"/>
      <x:c r="E36" s="100"/>
      <x:c r="F36" s="98" t="str">
        <x:f t="shared" si="1"/>
        <x:v/>
      </x:c>
      <x:c r="G36" s="99"/>
      <x:c r="H36" s="100"/>
      <x:c r="I36" s="98" t="str">
        <x:f t="shared" si="2"/>
        <x:v/>
      </x:c>
    </x:row>
    <x:row r="37" spans="1:9" s="98" customFormat="1" ht="16.399999999999999">
      <x:c r="A37" s="96"/>
      <x:c r="B37" s="97"/>
      <x:c r="C37" s="98" t="str">
        <x:f t="shared" si="0"/>
        <x:v/>
      </x:c>
      <x:c r="D37" s="99"/>
      <x:c r="E37" s="100"/>
      <x:c r="F37" s="98" t="str">
        <x:f t="shared" si="1"/>
        <x:v/>
      </x:c>
      <x:c r="G37" s="99"/>
      <x:c r="H37" s="100"/>
      <x:c r="I37" s="98" t="str">
        <x:f t="shared" si="2"/>
        <x:v/>
      </x:c>
    </x:row>
    <x:row r="38" spans="1:9" s="98" customFormat="1" ht="16.399999999999999">
      <x:c r="A38" s="96"/>
      <x:c r="B38" s="97"/>
      <x:c r="C38" s="98" t="str">
        <x:f t="shared" si="0"/>
        <x:v/>
      </x:c>
      <x:c r="D38" s="99"/>
      <x:c r="E38" s="100"/>
      <x:c r="F38" s="98" t="str">
        <x:f t="shared" si="1"/>
        <x:v/>
      </x:c>
      <x:c r="G38" s="99"/>
      <x:c r="H38" s="100"/>
      <x:c r="I38" s="98" t="str">
        <x:f t="shared" si="2"/>
        <x:v/>
      </x:c>
    </x:row>
    <x:row r="39" spans="1:9" s="98" customFormat="1" ht="16.399999999999999">
      <x:c r="A39" s="96"/>
      <x:c r="B39" s="97"/>
      <x:c r="C39" s="98" t="str">
        <x:f t="shared" si="0"/>
        <x:v/>
      </x:c>
      <x:c r="D39" s="99"/>
      <x:c r="E39" s="100"/>
      <x:c r="F39" s="98" t="str">
        <x:f t="shared" si="1"/>
        <x:v/>
      </x:c>
      <x:c r="G39" s="99"/>
      <x:c r="H39" s="100"/>
      <x:c r="I39" s="98" t="str">
        <x:f t="shared" si="2"/>
        <x:v/>
      </x:c>
    </x:row>
    <x:row r="40" spans="1:9" s="98" customFormat="1" ht="16.399999999999999">
      <x:c r="A40" s="96"/>
      <x:c r="B40" s="97"/>
      <x:c r="C40" s="98" t="str">
        <x:f t="shared" si="0"/>
        <x:v/>
      </x:c>
      <x:c r="D40" s="99"/>
      <x:c r="E40" s="100"/>
      <x:c r="F40" s="98" t="str">
        <x:f t="shared" si="1"/>
        <x:v/>
      </x:c>
      <x:c r="G40" s="99"/>
      <x:c r="H40" s="100"/>
      <x:c r="I40" s="98" t="str">
        <x:f t="shared" si="2"/>
        <x:v/>
      </x:c>
    </x:row>
    <x:row r="41" spans="1:9" s="98" customFormat="1" ht="16.399999999999999">
      <x:c r="A41" s="96"/>
      <x:c r="B41" s="97"/>
      <x:c r="C41" s="98" t="str">
        <x:f t="shared" si="0"/>
        <x:v/>
      </x:c>
      <x:c r="D41" s="99"/>
      <x:c r="E41" s="100"/>
      <x:c r="F41" s="98" t="str">
        <x:f t="shared" si="1"/>
        <x:v/>
      </x:c>
      <x:c r="G41" s="99"/>
      <x:c r="H41" s="100"/>
      <x:c r="I41" s="98" t="str">
        <x:f t="shared" si="2"/>
        <x:v/>
      </x:c>
    </x:row>
    <x:row r="42" spans="1:9" s="98" customFormat="1" ht="16.399999999999999">
      <x:c r="A42" s="96"/>
      <x:c r="B42" s="97"/>
      <x:c r="C42" s="98" t="str">
        <x:f t="shared" si="0"/>
        <x:v/>
      </x:c>
      <x:c r="D42" s="99"/>
      <x:c r="E42" s="100"/>
      <x:c r="F42" s="98" t="str">
        <x:f t="shared" si="1"/>
        <x:v/>
      </x:c>
      <x:c r="G42" s="99"/>
      <x:c r="H42" s="100"/>
      <x:c r="I42" s="98" t="str">
        <x:f t="shared" si="2"/>
        <x:v/>
      </x:c>
    </x:row>
    <x:row r="43" spans="1:9" s="98" customFormat="1" ht="16.399999999999999">
      <x:c r="A43" s="96"/>
      <x:c r="B43" s="97"/>
      <x:c r="C43" s="98" t="str">
        <x:f t="shared" si="0"/>
        <x:v/>
      </x:c>
      <x:c r="D43" s="99"/>
      <x:c r="E43" s="100"/>
      <x:c r="F43" s="98" t="str">
        <x:f t="shared" si="1"/>
        <x:v/>
      </x:c>
      <x:c r="G43" s="99"/>
      <x:c r="H43" s="100"/>
      <x:c r="I43" s="98" t="str">
        <x:f t="shared" si="2"/>
        <x:v/>
      </x:c>
    </x:row>
    <x:row r="44" spans="1:9" s="98" customFormat="1" ht="16.399999999999999">
      <x:c r="A44" s="96"/>
      <x:c r="B44" s="97"/>
      <x:c r="C44" s="98" t="str">
        <x:f t="shared" si="0"/>
        <x:v/>
      </x:c>
      <x:c r="D44" s="99"/>
      <x:c r="E44" s="100"/>
      <x:c r="F44" s="98" t="str">
        <x:f t="shared" si="1"/>
        <x:v/>
      </x:c>
      <x:c r="G44" s="99"/>
      <x:c r="H44" s="100"/>
      <x:c r="I44" s="98" t="str">
        <x:f t="shared" si="2"/>
        <x:v/>
      </x:c>
    </x:row>
    <x:row r="45" spans="1:9" s="98" customFormat="1" ht="16.399999999999999">
      <x:c r="A45" s="96"/>
      <x:c r="B45" s="97"/>
      <x:c r="C45" s="98" t="str">
        <x:f t="shared" si="0"/>
        <x:v/>
      </x:c>
      <x:c r="D45" s="99"/>
      <x:c r="E45" s="100"/>
      <x:c r="F45" s="98" t="str">
        <x:f t="shared" si="1"/>
        <x:v/>
      </x:c>
      <x:c r="G45" s="99"/>
      <x:c r="H45" s="100"/>
      <x:c r="I45" s="98" t="str">
        <x:f t="shared" si="2"/>
        <x:v/>
      </x:c>
    </x:row>
    <x:row r="46" spans="1:9" s="98" customFormat="1" ht="16.399999999999999">
      <x:c r="A46" s="96"/>
      <x:c r="B46" s="97"/>
      <x:c r="C46" s="98" t="str">
        <x:f t="shared" si="0"/>
        <x:v/>
      </x:c>
      <x:c r="D46" s="99"/>
      <x:c r="E46" s="100"/>
      <x:c r="F46" s="98" t="str">
        <x:f t="shared" si="1"/>
        <x:v/>
      </x:c>
      <x:c r="G46" s="99"/>
      <x:c r="H46" s="100"/>
      <x:c r="I46" s="98" t="str">
        <x:f t="shared" si="2"/>
        <x:v/>
      </x:c>
    </x:row>
    <x:row r="47" spans="1:9" s="98" customFormat="1" ht="16.399999999999999">
      <x:c r="A47" s="96"/>
      <x:c r="B47" s="97"/>
      <x:c r="C47" s="98" t="str">
        <x:f t="shared" si="0"/>
        <x:v/>
      </x:c>
      <x:c r="D47" s="99"/>
      <x:c r="E47" s="100"/>
      <x:c r="F47" s="98" t="str">
        <x:f t="shared" si="1"/>
        <x:v/>
      </x:c>
      <x:c r="G47" s="99"/>
      <x:c r="H47" s="100"/>
      <x:c r="I47" s="98" t="str">
        <x:f t="shared" si="2"/>
        <x:v/>
      </x:c>
    </x:row>
    <x:row r="48" spans="1:9" s="98" customFormat="1" ht="16.399999999999999">
      <x:c r="A48" s="96"/>
      <x:c r="B48" s="97"/>
      <x:c r="C48" s="98" t="str">
        <x:f t="shared" si="0"/>
        <x:v/>
      </x:c>
      <x:c r="D48" s="99"/>
      <x:c r="E48" s="100"/>
      <x:c r="F48" s="98" t="str">
        <x:f t="shared" si="1"/>
        <x:v/>
      </x:c>
      <x:c r="G48" s="99"/>
      <x:c r="H48" s="100"/>
      <x:c r="I48" s="98" t="str">
        <x:f t="shared" si="2"/>
        <x:v/>
      </x:c>
    </x:row>
    <x:row r="49" spans="1:9" s="98" customFormat="1" ht="16.399999999999999">
      <x:c r="A49" s="96"/>
      <x:c r="B49" s="97"/>
      <x:c r="C49" s="98" t="str">
        <x:f t="shared" si="0"/>
        <x:v/>
      </x:c>
      <x:c r="D49" s="99"/>
      <x:c r="E49" s="100"/>
      <x:c r="F49" s="98" t="str">
        <x:f t="shared" si="1"/>
        <x:v/>
      </x:c>
      <x:c r="G49" s="99"/>
      <x:c r="H49" s="100"/>
      <x:c r="I49" s="98" t="str">
        <x:f t="shared" si="2"/>
        <x:v/>
      </x:c>
    </x:row>
    <x:row r="50" spans="1:9" s="98" customFormat="1" ht="16.399999999999999">
      <x:c r="A50" s="96"/>
      <x:c r="B50" s="97"/>
      <x:c r="C50" s="98" t="str">
        <x:f t="shared" si="0"/>
        <x:v/>
      </x:c>
      <x:c r="D50" s="99"/>
      <x:c r="E50" s="100"/>
      <x:c r="F50" s="98" t="str">
        <x:f t="shared" si="1"/>
        <x:v/>
      </x:c>
      <x:c r="G50" s="99"/>
      <x:c r="H50" s="100"/>
      <x:c r="I50" s="98" t="str">
        <x:f t="shared" si="2"/>
        <x:v/>
      </x:c>
    </x:row>
    <x:row r="51" spans="1:9" s="98" customFormat="1" ht="16.399999999999999">
      <x:c r="A51" s="96"/>
      <x:c r="B51" s="97"/>
      <x:c r="C51" s="98" t="str">
        <x:f t="shared" si="0"/>
        <x:v/>
      </x:c>
      <x:c r="D51" s="99"/>
      <x:c r="E51" s="100"/>
      <x:c r="F51" s="98" t="str">
        <x:f t="shared" si="1"/>
        <x:v/>
      </x:c>
      <x:c r="G51" s="99"/>
      <x:c r="H51" s="100"/>
      <x:c r="I51" s="98" t="str">
        <x:f t="shared" si="2"/>
        <x:v/>
      </x:c>
    </x:row>
    <x:row r="52" spans="1:9" s="98" customFormat="1" ht="16.399999999999999">
      <x:c r="A52" s="96"/>
      <x:c r="B52" s="97"/>
      <x:c r="C52" s="98" t="str">
        <x:f t="shared" si="0"/>
        <x:v/>
      </x:c>
      <x:c r="D52" s="99"/>
      <x:c r="E52" s="100"/>
      <x:c r="F52" s="98" t="str">
        <x:f t="shared" si="1"/>
        <x:v/>
      </x:c>
      <x:c r="G52" s="99"/>
      <x:c r="H52" s="100"/>
      <x:c r="I52" s="98" t="str">
        <x:f t="shared" si="2"/>
        <x:v/>
      </x:c>
    </x:row>
    <x:row r="53" spans="1:9" s="98" customFormat="1" ht="16.399999999999999">
      <x:c r="A53" s="96"/>
      <x:c r="B53" s="97"/>
      <x:c r="C53" s="98" t="str">
        <x:f t="shared" si="0"/>
        <x:v/>
      </x:c>
      <x:c r="D53" s="99"/>
      <x:c r="E53" s="100"/>
      <x:c r="F53" s="98" t="str">
        <x:f t="shared" si="1"/>
        <x:v/>
      </x:c>
      <x:c r="G53" s="99"/>
      <x:c r="H53" s="100"/>
      <x:c r="I53" s="98" t="str">
        <x:f t="shared" si="2"/>
        <x:v/>
      </x:c>
    </x:row>
    <x:row r="54" spans="1:9" s="98" customFormat="1" ht="16.399999999999999">
      <x:c r="A54" s="96"/>
      <x:c r="B54" s="97"/>
      <x:c r="C54" s="98" t="str">
        <x:f t="shared" si="0"/>
        <x:v/>
      </x:c>
      <x:c r="D54" s="99"/>
      <x:c r="E54" s="100"/>
      <x:c r="F54" s="98" t="str">
        <x:f t="shared" si="1"/>
        <x:v/>
      </x:c>
      <x:c r="G54" s="99"/>
      <x:c r="H54" s="100"/>
      <x:c r="I54" s="98" t="str">
        <x:f t="shared" si="2"/>
        <x:v/>
      </x:c>
    </x:row>
    <x:row r="55" spans="1:9" s="98" customFormat="1" ht="16.399999999999999">
      <x:c r="A55" s="96"/>
      <x:c r="B55" s="97"/>
      <x:c r="C55" s="98" t="str">
        <x:f t="shared" si="0"/>
        <x:v/>
      </x:c>
      <x:c r="D55" s="99"/>
      <x:c r="E55" s="100"/>
      <x:c r="F55" s="98" t="str">
        <x:f t="shared" si="1"/>
        <x:v/>
      </x:c>
      <x:c r="G55" s="99"/>
      <x:c r="H55" s="100"/>
      <x:c r="I55" s="98" t="str">
        <x:f t="shared" si="2"/>
        <x:v/>
      </x:c>
    </x:row>
    <x:row r="56" spans="1:9" s="98" customFormat="1" ht="16.399999999999999">
      <x:c r="A56" s="96"/>
      <x:c r="B56" s="97"/>
      <x:c r="C56" s="98" t="str">
        <x:f t="shared" si="0"/>
        <x:v/>
      </x:c>
      <x:c r="D56" s="99"/>
      <x:c r="E56" s="100"/>
      <x:c r="F56" s="98" t="str">
        <x:f t="shared" si="1"/>
        <x:v/>
      </x:c>
      <x:c r="G56" s="99"/>
      <x:c r="H56" s="100"/>
      <x:c r="I56" s="98" t="str">
        <x:f t="shared" si="2"/>
        <x:v/>
      </x:c>
    </x:row>
    <x:row r="57" spans="1:9" s="98" customFormat="1" ht="16.399999999999999">
      <x:c r="A57" s="96"/>
      <x:c r="B57" s="97"/>
      <x:c r="C57" s="98" t="str">
        <x:f t="shared" si="0"/>
        <x:v/>
      </x:c>
      <x:c r="D57" s="99"/>
      <x:c r="E57" s="100"/>
      <x:c r="F57" s="98" t="str">
        <x:f t="shared" si="1"/>
        <x:v/>
      </x:c>
      <x:c r="G57" s="99"/>
      <x:c r="H57" s="100"/>
      <x:c r="I57" s="98" t="str">
        <x:f t="shared" si="2"/>
        <x:v/>
      </x:c>
    </x:row>
    <x:row r="58" spans="1:9" s="98" customFormat="1" ht="16.399999999999999">
      <x:c r="A58" s="96"/>
      <x:c r="B58" s="97"/>
      <x:c r="C58" s="98" t="str">
        <x:f t="shared" si="0"/>
        <x:v/>
      </x:c>
      <x:c r="D58" s="99"/>
      <x:c r="E58" s="100"/>
      <x:c r="F58" s="98" t="str">
        <x:f t="shared" si="1"/>
        <x:v/>
      </x:c>
      <x:c r="G58" s="99"/>
      <x:c r="H58" s="100"/>
      <x:c r="I58" s="98" t="str">
        <x:f t="shared" si="2"/>
        <x:v/>
      </x:c>
    </x:row>
    <x:row r="59" spans="1:9" s="98" customFormat="1" ht="16.399999999999999">
      <x:c r="A59" s="96"/>
      <x:c r="B59" s="97"/>
      <x:c r="C59" s="98" t="str">
        <x:f t="shared" si="0"/>
        <x:v/>
      </x:c>
      <x:c r="D59" s="99"/>
      <x:c r="E59" s="100"/>
      <x:c r="F59" s="98" t="str">
        <x:f t="shared" si="1"/>
        <x:v/>
      </x:c>
      <x:c r="G59" s="99"/>
      <x:c r="H59" s="100"/>
      <x:c r="I59" s="98" t="str">
        <x:f t="shared" si="2"/>
        <x:v/>
      </x:c>
    </x:row>
    <x:row r="60" spans="1:9" s="98" customFormat="1" ht="16.399999999999999">
      <x:c r="A60" s="96"/>
      <x:c r="B60" s="97"/>
      <x:c r="C60" s="98" t="str">
        <x:f t="shared" si="0"/>
        <x:v/>
      </x:c>
      <x:c r="D60" s="99"/>
      <x:c r="E60" s="100"/>
      <x:c r="F60" s="98" t="str">
        <x:f t="shared" si="1"/>
        <x:v/>
      </x:c>
      <x:c r="G60" s="99"/>
      <x:c r="H60" s="100"/>
      <x:c r="I60" s="98" t="str">
        <x:f t="shared" si="2"/>
        <x:v/>
      </x:c>
    </x:row>
    <x:row r="61" spans="1:9" s="98" customFormat="1" ht="16.399999999999999">
      <x:c r="A61" s="96"/>
      <x:c r="B61" s="97"/>
      <x:c r="C61" s="98" t="str">
        <x:f t="shared" si="0"/>
        <x:v/>
      </x:c>
      <x:c r="D61" s="99"/>
      <x:c r="E61" s="100"/>
      <x:c r="F61" s="98" t="str">
        <x:f t="shared" si="1"/>
        <x:v/>
      </x:c>
      <x:c r="G61" s="99"/>
      <x:c r="H61" s="100"/>
      <x:c r="I61" s="98" t="str">
        <x:f t="shared" si="2"/>
        <x:v/>
      </x:c>
    </x:row>
    <x:row r="62" spans="1:9" s="98" customFormat="1" ht="16.399999999999999">
      <x:c r="A62" s="96"/>
      <x:c r="B62" s="97"/>
      <x:c r="C62" s="98" t="str">
        <x:f t="shared" si="0"/>
        <x:v/>
      </x:c>
      <x:c r="D62" s="99"/>
      <x:c r="E62" s="100"/>
      <x:c r="F62" s="98" t="str">
        <x:f t="shared" si="1"/>
        <x:v/>
      </x:c>
      <x:c r="G62" s="99"/>
      <x:c r="H62" s="100"/>
      <x:c r="I62" s="98" t="str">
        <x:f t="shared" si="2"/>
        <x:v/>
      </x:c>
    </x:row>
    <x:row r="63" spans="1:9" s="98" customFormat="1" ht="16.399999999999999">
      <x:c r="A63" s="96"/>
      <x:c r="B63" s="97"/>
      <x:c r="C63" s="98" t="str">
        <x:f t="shared" si="0"/>
        <x:v/>
      </x:c>
      <x:c r="D63" s="99"/>
      <x:c r="E63" s="100"/>
      <x:c r="F63" s="98" t="str">
        <x:f t="shared" si="1"/>
        <x:v/>
      </x:c>
      <x:c r="G63" s="99"/>
      <x:c r="H63" s="100"/>
      <x:c r="I63" s="98" t="str">
        <x:f t="shared" si="2"/>
        <x:v/>
      </x:c>
    </x:row>
    <x:row r="64" spans="1:9" s="98" customFormat="1" ht="16.399999999999999">
      <x:c r="A64" s="96"/>
      <x:c r="B64" s="97"/>
      <x:c r="C64" s="98" t="str">
        <x:f t="shared" si="0"/>
        <x:v/>
      </x:c>
      <x:c r="D64" s="99"/>
      <x:c r="E64" s="100"/>
      <x:c r="F64" s="98" t="str">
        <x:f t="shared" si="1"/>
        <x:v/>
      </x:c>
      <x:c r="G64" s="99"/>
      <x:c r="H64" s="100"/>
      <x:c r="I64" s="98" t="str">
        <x:f t="shared" si="2"/>
        <x:v/>
      </x:c>
    </x:row>
    <x:row r="65" spans="1:9" s="98" customFormat="1" ht="16.399999999999999">
      <x:c r="A65" s="96"/>
      <x:c r="B65" s="97"/>
      <x:c r="C65" s="98" t="str">
        <x:f t="shared" si="0"/>
        <x:v/>
      </x:c>
      <x:c r="D65" s="99"/>
      <x:c r="E65" s="100"/>
      <x:c r="F65" s="98" t="str">
        <x:f t="shared" si="1"/>
        <x:v/>
      </x:c>
      <x:c r="G65" s="99"/>
      <x:c r="H65" s="100"/>
      <x:c r="I65" s="98" t="str">
        <x:f t="shared" si="2"/>
        <x:v/>
      </x:c>
    </x:row>
    <x:row r="66" spans="1:9" s="98" customFormat="1" ht="16.399999999999999">
      <x:c r="A66" s="96"/>
      <x:c r="B66" s="97"/>
      <x:c r="C66" s="98" t="str">
        <x:f t="shared" si="0"/>
        <x:v/>
      </x:c>
      <x:c r="D66" s="99"/>
      <x:c r="E66" s="100"/>
      <x:c r="F66" s="98" t="str">
        <x:f t="shared" si="1"/>
        <x:v/>
      </x:c>
      <x:c r="G66" s="99"/>
      <x:c r="H66" s="100"/>
      <x:c r="I66" s="98" t="str">
        <x:f t="shared" si="2"/>
        <x:v/>
      </x:c>
    </x:row>
    <x:row r="67" spans="1:9" s="98" customFormat="1" ht="16.399999999999999">
      <x:c r="A67" s="96"/>
      <x:c r="B67" s="97"/>
      <x:c r="C67" s="98" t="str">
        <x:f t="shared" si="0"/>
        <x:v/>
      </x:c>
      <x:c r="D67" s="99"/>
      <x:c r="E67" s="100"/>
      <x:c r="F67" s="98" t="str">
        <x:f t="shared" si="1"/>
        <x:v/>
      </x:c>
      <x:c r="G67" s="99"/>
      <x:c r="H67" s="100"/>
      <x:c r="I67" s="98" t="str">
        <x:f t="shared" si="2"/>
        <x:v/>
      </x:c>
    </x:row>
    <x:row r="68" spans="1:9" s="98" customFormat="1" ht="16.399999999999999">
      <x:c r="A68" s="96"/>
      <x:c r="B68" s="97"/>
      <x:c r="C68" s="98" t="str">
        <x:f t="shared" si="0"/>
        <x:v/>
      </x:c>
      <x:c r="D68" s="99"/>
      <x:c r="E68" s="100"/>
      <x:c r="F68" s="98" t="str">
        <x:f t="shared" si="1"/>
        <x:v/>
      </x:c>
      <x:c r="G68" s="99"/>
      <x:c r="H68" s="100"/>
      <x:c r="I68" s="98" t="str">
        <x:f t="shared" si="2"/>
        <x:v/>
      </x:c>
    </x:row>
    <x:row r="69" spans="1:9" s="98" customFormat="1" ht="16.399999999999999">
      <x:c r="A69" s="96"/>
      <x:c r="B69" s="97"/>
      <x:c r="C69" s="98" t="str">
        <x:f t="shared" ref="C69:C132" si="3">IF(B69&gt;0,TEXT(B69,"(aaa)"),"")</x:f>
        <x:v/>
      </x:c>
      <x:c r="D69" s="99"/>
      <x:c r="E69" s="100"/>
      <x:c r="F69" s="98" t="str">
        <x:f t="shared" ref="F69:F132" si="4">IF(E69&gt;0,TEXT(E69,"(aaa)"),"")</x:f>
        <x:v/>
      </x:c>
      <x:c r="G69" s="99"/>
      <x:c r="H69" s="100"/>
      <x:c r="I69" s="98" t="str">
        <x:f t="shared" ref="I69:I132" si="5">IF(H69&gt;0,TEXT(H69,"(aaa)"),"")</x:f>
        <x:v/>
      </x:c>
    </x:row>
    <x:row r="70" spans="1:9" s="98" customFormat="1" ht="16.399999999999999">
      <x:c r="A70" s="96"/>
      <x:c r="B70" s="97"/>
      <x:c r="C70" s="98" t="str">
        <x:f t="shared" si="3"/>
        <x:v/>
      </x:c>
      <x:c r="D70" s="99"/>
      <x:c r="E70" s="100"/>
      <x:c r="F70" s="98" t="str">
        <x:f t="shared" si="4"/>
        <x:v/>
      </x:c>
      <x:c r="G70" s="99"/>
      <x:c r="H70" s="100"/>
      <x:c r="I70" s="98" t="str">
        <x:f t="shared" si="5"/>
        <x:v/>
      </x:c>
    </x:row>
    <x:row r="71" spans="1:9" s="98" customFormat="1" ht="16.399999999999999">
      <x:c r="A71" s="96"/>
      <x:c r="B71" s="97"/>
      <x:c r="C71" s="98" t="str">
        <x:f t="shared" si="3"/>
        <x:v/>
      </x:c>
      <x:c r="D71" s="99"/>
      <x:c r="E71" s="100"/>
      <x:c r="F71" s="98" t="str">
        <x:f t="shared" si="4"/>
        <x:v/>
      </x:c>
      <x:c r="G71" s="99"/>
      <x:c r="H71" s="100"/>
      <x:c r="I71" s="98" t="str">
        <x:f t="shared" si="5"/>
        <x:v/>
      </x:c>
    </x:row>
    <x:row r="72" spans="1:9" s="98" customFormat="1" ht="16.399999999999999">
      <x:c r="A72" s="96"/>
      <x:c r="B72" s="97"/>
      <x:c r="C72" s="98" t="str">
        <x:f t="shared" si="3"/>
        <x:v/>
      </x:c>
      <x:c r="D72" s="99"/>
      <x:c r="E72" s="100"/>
      <x:c r="F72" s="98" t="str">
        <x:f t="shared" si="4"/>
        <x:v/>
      </x:c>
      <x:c r="G72" s="99"/>
      <x:c r="H72" s="100"/>
      <x:c r="I72" s="98" t="str">
        <x:f t="shared" si="5"/>
        <x:v/>
      </x:c>
    </x:row>
    <x:row r="73" spans="1:9" s="98" customFormat="1" ht="16.399999999999999">
      <x:c r="A73" s="96"/>
      <x:c r="B73" s="97"/>
      <x:c r="C73" s="98" t="str">
        <x:f t="shared" si="3"/>
        <x:v/>
      </x:c>
      <x:c r="D73" s="99"/>
      <x:c r="E73" s="100"/>
      <x:c r="F73" s="98" t="str">
        <x:f t="shared" si="4"/>
        <x:v/>
      </x:c>
      <x:c r="G73" s="99"/>
      <x:c r="H73" s="100"/>
      <x:c r="I73" s="98" t="str">
        <x:f t="shared" si="5"/>
        <x:v/>
      </x:c>
    </x:row>
    <x:row r="74" spans="1:9" s="98" customFormat="1" ht="16.399999999999999">
      <x:c r="A74" s="96"/>
      <x:c r="B74" s="97"/>
      <x:c r="C74" s="98" t="str">
        <x:f t="shared" si="3"/>
        <x:v/>
      </x:c>
      <x:c r="D74" s="99"/>
      <x:c r="E74" s="100"/>
      <x:c r="F74" s="98" t="str">
        <x:f t="shared" si="4"/>
        <x:v/>
      </x:c>
      <x:c r="G74" s="99"/>
      <x:c r="H74" s="100"/>
      <x:c r="I74" s="98" t="str">
        <x:f t="shared" si="5"/>
        <x:v/>
      </x:c>
    </x:row>
    <x:row r="75" spans="1:9" s="98" customFormat="1" ht="16.399999999999999">
      <x:c r="A75" s="96"/>
      <x:c r="B75" s="97"/>
      <x:c r="C75" s="98" t="str">
        <x:f t="shared" si="3"/>
        <x:v/>
      </x:c>
      <x:c r="D75" s="99"/>
      <x:c r="E75" s="100"/>
      <x:c r="F75" s="98" t="str">
        <x:f t="shared" si="4"/>
        <x:v/>
      </x:c>
      <x:c r="G75" s="99"/>
      <x:c r="H75" s="100"/>
      <x:c r="I75" s="98" t="str">
        <x:f t="shared" si="5"/>
        <x:v/>
      </x:c>
    </x:row>
    <x:row r="76" spans="1:9" s="98" customFormat="1" ht="16.399999999999999">
      <x:c r="A76" s="96"/>
      <x:c r="B76" s="97"/>
      <x:c r="C76" s="98" t="str">
        <x:f t="shared" si="3"/>
        <x:v/>
      </x:c>
      <x:c r="D76" s="99"/>
      <x:c r="E76" s="100"/>
      <x:c r="F76" s="98" t="str">
        <x:f t="shared" si="4"/>
        <x:v/>
      </x:c>
      <x:c r="G76" s="99"/>
      <x:c r="H76" s="100"/>
      <x:c r="I76" s="98" t="str">
        <x:f t="shared" si="5"/>
        <x:v/>
      </x:c>
    </x:row>
    <x:row r="77" spans="1:9" s="98" customFormat="1" ht="16.399999999999999">
      <x:c r="A77" s="96"/>
      <x:c r="B77" s="97"/>
      <x:c r="C77" s="98" t="str">
        <x:f t="shared" si="3"/>
        <x:v/>
      </x:c>
      <x:c r="D77" s="99"/>
      <x:c r="E77" s="100"/>
      <x:c r="F77" s="98" t="str">
        <x:f t="shared" si="4"/>
        <x:v/>
      </x:c>
      <x:c r="G77" s="99"/>
      <x:c r="H77" s="100"/>
      <x:c r="I77" s="98" t="str">
        <x:f t="shared" si="5"/>
        <x:v/>
      </x:c>
    </x:row>
    <x:row r="78" spans="1:9" s="98" customFormat="1" ht="16.399999999999999">
      <x:c r="A78" s="96"/>
      <x:c r="B78" s="97"/>
      <x:c r="C78" s="98" t="str">
        <x:f t="shared" si="3"/>
        <x:v/>
      </x:c>
      <x:c r="D78" s="99"/>
      <x:c r="E78" s="100"/>
      <x:c r="F78" s="98" t="str">
        <x:f t="shared" si="4"/>
        <x:v/>
      </x:c>
      <x:c r="G78" s="99"/>
      <x:c r="H78" s="100"/>
      <x:c r="I78" s="98" t="str">
        <x:f t="shared" si="5"/>
        <x:v/>
      </x:c>
    </x:row>
    <x:row r="79" spans="1:9" s="98" customFormat="1" ht="16.399999999999999">
      <x:c r="A79" s="96"/>
      <x:c r="B79" s="97"/>
      <x:c r="C79" s="98" t="str">
        <x:f t="shared" si="3"/>
        <x:v/>
      </x:c>
      <x:c r="D79" s="99"/>
      <x:c r="E79" s="100"/>
      <x:c r="F79" s="98" t="str">
        <x:f t="shared" si="4"/>
        <x:v/>
      </x:c>
      <x:c r="G79" s="99"/>
      <x:c r="H79" s="100"/>
      <x:c r="I79" s="98" t="str">
        <x:f t="shared" si="5"/>
        <x:v/>
      </x:c>
    </x:row>
    <x:row r="80" spans="1:9" s="98" customFormat="1" ht="16.399999999999999">
      <x:c r="A80" s="96"/>
      <x:c r="B80" s="97"/>
      <x:c r="C80" s="98" t="str">
        <x:f t="shared" si="3"/>
        <x:v/>
      </x:c>
      <x:c r="D80" s="99"/>
      <x:c r="E80" s="100"/>
      <x:c r="F80" s="98" t="str">
        <x:f t="shared" si="4"/>
        <x:v/>
      </x:c>
      <x:c r="G80" s="99"/>
      <x:c r="H80" s="100"/>
      <x:c r="I80" s="98" t="str">
        <x:f t="shared" si="5"/>
        <x:v/>
      </x:c>
    </x:row>
    <x:row r="81" spans="1:9" s="98" customFormat="1" ht="16.399999999999999">
      <x:c r="A81" s="96"/>
      <x:c r="B81" s="97"/>
      <x:c r="C81" s="98" t="str">
        <x:f t="shared" si="3"/>
        <x:v/>
      </x:c>
      <x:c r="D81" s="99"/>
      <x:c r="E81" s="100"/>
      <x:c r="F81" s="98" t="str">
        <x:f t="shared" si="4"/>
        <x:v/>
      </x:c>
      <x:c r="G81" s="99"/>
      <x:c r="H81" s="100"/>
      <x:c r="I81" s="98" t="str">
        <x:f t="shared" si="5"/>
        <x:v/>
      </x:c>
    </x:row>
    <x:row r="82" spans="1:9" s="98" customFormat="1" ht="16.399999999999999">
      <x:c r="A82" s="96"/>
      <x:c r="B82" s="97"/>
      <x:c r="C82" s="98" t="str">
        <x:f t="shared" si="3"/>
        <x:v/>
      </x:c>
      <x:c r="D82" s="99"/>
      <x:c r="E82" s="100"/>
      <x:c r="F82" s="98" t="str">
        <x:f t="shared" si="4"/>
        <x:v/>
      </x:c>
      <x:c r="G82" s="99"/>
      <x:c r="H82" s="100"/>
      <x:c r="I82" s="98" t="str">
        <x:f t="shared" si="5"/>
        <x:v/>
      </x:c>
    </x:row>
    <x:row r="83" spans="1:9" s="98" customFormat="1" ht="16.399999999999999">
      <x:c r="A83" s="96"/>
      <x:c r="B83" s="97"/>
      <x:c r="C83" s="98" t="str">
        <x:f t="shared" si="3"/>
        <x:v/>
      </x:c>
      <x:c r="D83" s="99"/>
      <x:c r="E83" s="100"/>
      <x:c r="F83" s="98" t="str">
        <x:f t="shared" si="4"/>
        <x:v/>
      </x:c>
      <x:c r="G83" s="99"/>
      <x:c r="H83" s="100"/>
      <x:c r="I83" s="98" t="str">
        <x:f t="shared" si="5"/>
        <x:v/>
      </x:c>
    </x:row>
    <x:row r="84" spans="1:9" s="98" customFormat="1" ht="16.399999999999999">
      <x:c r="A84" s="96"/>
      <x:c r="B84" s="97"/>
      <x:c r="C84" s="98" t="str">
        <x:f t="shared" si="3"/>
        <x:v/>
      </x:c>
      <x:c r="D84" s="99"/>
      <x:c r="E84" s="100"/>
      <x:c r="F84" s="98" t="str">
        <x:f t="shared" si="4"/>
        <x:v/>
      </x:c>
      <x:c r="G84" s="99"/>
      <x:c r="H84" s="100"/>
      <x:c r="I84" s="98" t="str">
        <x:f t="shared" si="5"/>
        <x:v/>
      </x:c>
    </x:row>
    <x:row r="85" spans="1:9" s="98" customFormat="1" ht="16.399999999999999">
      <x:c r="A85" s="96"/>
      <x:c r="B85" s="97"/>
      <x:c r="C85" s="98" t="str">
        <x:f t="shared" si="3"/>
        <x:v/>
      </x:c>
      <x:c r="D85" s="99"/>
      <x:c r="E85" s="100"/>
      <x:c r="F85" s="98" t="str">
        <x:f t="shared" si="4"/>
        <x:v/>
      </x:c>
      <x:c r="G85" s="99"/>
      <x:c r="H85" s="100"/>
      <x:c r="I85" s="98" t="str">
        <x:f t="shared" si="5"/>
        <x:v/>
      </x:c>
    </x:row>
    <x:row r="86" spans="1:9" s="98" customFormat="1" ht="16.399999999999999">
      <x:c r="A86" s="96"/>
      <x:c r="B86" s="97"/>
      <x:c r="C86" s="98" t="str">
        <x:f t="shared" si="3"/>
        <x:v/>
      </x:c>
      <x:c r="D86" s="99"/>
      <x:c r="E86" s="100"/>
      <x:c r="F86" s="98" t="str">
        <x:f t="shared" si="4"/>
        <x:v/>
      </x:c>
      <x:c r="G86" s="99"/>
      <x:c r="H86" s="100"/>
      <x:c r="I86" s="98" t="str">
        <x:f t="shared" si="5"/>
        <x:v/>
      </x:c>
    </x:row>
    <x:row r="87" spans="1:9" s="98" customFormat="1" ht="16.399999999999999">
      <x:c r="A87" s="96"/>
      <x:c r="B87" s="97"/>
      <x:c r="C87" s="98" t="str">
        <x:f t="shared" si="3"/>
        <x:v/>
      </x:c>
      <x:c r="D87" s="99"/>
      <x:c r="E87" s="100"/>
      <x:c r="F87" s="98" t="str">
        <x:f t="shared" si="4"/>
        <x:v/>
      </x:c>
      <x:c r="G87" s="99"/>
      <x:c r="H87" s="100"/>
      <x:c r="I87" s="98" t="str">
        <x:f t="shared" si="5"/>
        <x:v/>
      </x:c>
    </x:row>
    <x:row r="88" spans="1:9" s="98" customFormat="1" ht="16.399999999999999">
      <x:c r="A88" s="96"/>
      <x:c r="B88" s="97"/>
      <x:c r="C88" s="98" t="str">
        <x:f t="shared" si="3"/>
        <x:v/>
      </x:c>
      <x:c r="D88" s="99"/>
      <x:c r="E88" s="100"/>
      <x:c r="F88" s="98" t="str">
        <x:f t="shared" si="4"/>
        <x:v/>
      </x:c>
      <x:c r="G88" s="99"/>
      <x:c r="H88" s="100"/>
      <x:c r="I88" s="98" t="str">
        <x:f t="shared" si="5"/>
        <x:v/>
      </x:c>
    </x:row>
    <x:row r="89" spans="1:9" s="98" customFormat="1" ht="16.399999999999999">
      <x:c r="A89" s="96"/>
      <x:c r="B89" s="97"/>
      <x:c r="C89" s="98" t="str">
        <x:f t="shared" si="3"/>
        <x:v/>
      </x:c>
      <x:c r="D89" s="99"/>
      <x:c r="E89" s="100"/>
      <x:c r="F89" s="98" t="str">
        <x:f t="shared" si="4"/>
        <x:v/>
      </x:c>
      <x:c r="G89" s="99"/>
      <x:c r="H89" s="100"/>
      <x:c r="I89" s="98" t="str">
        <x:f t="shared" si="5"/>
        <x:v/>
      </x:c>
    </x:row>
    <x:row r="90" spans="1:9" s="98" customFormat="1" ht="16.399999999999999">
      <x:c r="A90" s="96"/>
      <x:c r="B90" s="97"/>
      <x:c r="C90" s="98" t="str">
        <x:f t="shared" si="3"/>
        <x:v/>
      </x:c>
      <x:c r="D90" s="99"/>
      <x:c r="E90" s="100"/>
      <x:c r="F90" s="98" t="str">
        <x:f t="shared" si="4"/>
        <x:v/>
      </x:c>
      <x:c r="G90" s="99"/>
      <x:c r="H90" s="100"/>
      <x:c r="I90" s="98" t="str">
        <x:f t="shared" si="5"/>
        <x:v/>
      </x:c>
    </x:row>
    <x:row r="91" spans="1:9" s="98" customFormat="1" ht="16.399999999999999">
      <x:c r="A91" s="96"/>
      <x:c r="B91" s="97"/>
      <x:c r="C91" s="98" t="str">
        <x:f t="shared" si="3"/>
        <x:v/>
      </x:c>
      <x:c r="D91" s="99"/>
      <x:c r="E91" s="100"/>
      <x:c r="F91" s="98" t="str">
        <x:f t="shared" si="4"/>
        <x:v/>
      </x:c>
      <x:c r="G91" s="99"/>
      <x:c r="H91" s="100"/>
      <x:c r="I91" s="98" t="str">
        <x:f t="shared" si="5"/>
        <x:v/>
      </x:c>
    </x:row>
    <x:row r="92" spans="1:9" s="98" customFormat="1" ht="16.399999999999999">
      <x:c r="A92" s="96"/>
      <x:c r="B92" s="97"/>
      <x:c r="C92" s="98" t="str">
        <x:f t="shared" si="3"/>
        <x:v/>
      </x:c>
      <x:c r="D92" s="99"/>
      <x:c r="E92" s="100"/>
      <x:c r="F92" s="98" t="str">
        <x:f t="shared" si="4"/>
        <x:v/>
      </x:c>
      <x:c r="G92" s="99"/>
      <x:c r="H92" s="100"/>
      <x:c r="I92" s="98" t="str">
        <x:f t="shared" si="5"/>
        <x:v/>
      </x:c>
    </x:row>
    <x:row r="93" spans="1:9" s="98" customFormat="1" ht="16.399999999999999">
      <x:c r="A93" s="96"/>
      <x:c r="B93" s="97"/>
      <x:c r="C93" s="98" t="str">
        <x:f t="shared" si="3"/>
        <x:v/>
      </x:c>
      <x:c r="D93" s="99"/>
      <x:c r="E93" s="100"/>
      <x:c r="F93" s="98" t="str">
        <x:f t="shared" si="4"/>
        <x:v/>
      </x:c>
      <x:c r="G93" s="99"/>
      <x:c r="H93" s="100"/>
      <x:c r="I93" s="98" t="str">
        <x:f t="shared" si="5"/>
        <x:v/>
      </x:c>
    </x:row>
    <x:row r="94" spans="1:9" s="98" customFormat="1" ht="16.399999999999999">
      <x:c r="A94" s="96"/>
      <x:c r="B94" s="97"/>
      <x:c r="C94" s="98" t="str">
        <x:f t="shared" si="3"/>
        <x:v/>
      </x:c>
      <x:c r="D94" s="99"/>
      <x:c r="E94" s="100"/>
      <x:c r="F94" s="98" t="str">
        <x:f t="shared" si="4"/>
        <x:v/>
      </x:c>
      <x:c r="G94" s="99"/>
      <x:c r="H94" s="100"/>
      <x:c r="I94" s="98" t="str">
        <x:f t="shared" si="5"/>
        <x:v/>
      </x:c>
    </x:row>
    <x:row r="95" spans="1:9" s="98" customFormat="1" ht="16.399999999999999">
      <x:c r="A95" s="96"/>
      <x:c r="B95" s="97"/>
      <x:c r="C95" s="98" t="str">
        <x:f t="shared" si="3"/>
        <x:v/>
      </x:c>
      <x:c r="D95" s="99"/>
      <x:c r="E95" s="100"/>
      <x:c r="F95" s="98" t="str">
        <x:f t="shared" si="4"/>
        <x:v/>
      </x:c>
      <x:c r="G95" s="99"/>
      <x:c r="H95" s="100"/>
      <x:c r="I95" s="98" t="str">
        <x:f t="shared" si="5"/>
        <x:v/>
      </x:c>
    </x:row>
    <x:row r="96" spans="1:9" s="98" customFormat="1" ht="16.399999999999999">
      <x:c r="A96" s="96"/>
      <x:c r="B96" s="97"/>
      <x:c r="C96" s="98" t="str">
        <x:f t="shared" si="3"/>
        <x:v/>
      </x:c>
      <x:c r="D96" s="99"/>
      <x:c r="E96" s="100"/>
      <x:c r="F96" s="98" t="str">
        <x:f t="shared" si="4"/>
        <x:v/>
      </x:c>
      <x:c r="G96" s="99"/>
      <x:c r="H96" s="100"/>
      <x:c r="I96" s="98" t="str">
        <x:f t="shared" si="5"/>
        <x:v/>
      </x:c>
    </x:row>
    <x:row r="97" spans="1:9" s="98" customFormat="1" ht="16.399999999999999">
      <x:c r="A97" s="96"/>
      <x:c r="B97" s="97"/>
      <x:c r="C97" s="98" t="str">
        <x:f t="shared" si="3"/>
        <x:v/>
      </x:c>
      <x:c r="D97" s="99"/>
      <x:c r="E97" s="100"/>
      <x:c r="F97" s="98" t="str">
        <x:f t="shared" si="4"/>
        <x:v/>
      </x:c>
      <x:c r="G97" s="99"/>
      <x:c r="H97" s="100"/>
      <x:c r="I97" s="98" t="str">
        <x:f t="shared" si="5"/>
        <x:v/>
      </x:c>
    </x:row>
    <x:row r="98" spans="1:9" s="98" customFormat="1" ht="16.399999999999999">
      <x:c r="A98" s="96"/>
      <x:c r="B98" s="97"/>
      <x:c r="C98" s="98" t="str">
        <x:f t="shared" si="3"/>
        <x:v/>
      </x:c>
      <x:c r="D98" s="99"/>
      <x:c r="E98" s="100"/>
      <x:c r="F98" s="98" t="str">
        <x:f t="shared" si="4"/>
        <x:v/>
      </x:c>
      <x:c r="G98" s="99"/>
      <x:c r="H98" s="100"/>
      <x:c r="I98" s="98" t="str">
        <x:f t="shared" si="5"/>
        <x:v/>
      </x:c>
    </x:row>
    <x:row r="99" spans="1:9" s="98" customFormat="1" ht="16.399999999999999">
      <x:c r="A99" s="96"/>
      <x:c r="B99" s="97"/>
      <x:c r="C99" s="98" t="str">
        <x:f t="shared" si="3"/>
        <x:v/>
      </x:c>
      <x:c r="D99" s="99"/>
      <x:c r="E99" s="100"/>
      <x:c r="F99" s="98" t="str">
        <x:f t="shared" si="4"/>
        <x:v/>
      </x:c>
      <x:c r="G99" s="99"/>
      <x:c r="H99" s="100"/>
      <x:c r="I99" s="98" t="str">
        <x:f t="shared" si="5"/>
        <x:v/>
      </x:c>
    </x:row>
    <x:row r="100" spans="1:9" s="98" customFormat="1" ht="16.399999999999999">
      <x:c r="A100" s="96"/>
      <x:c r="B100" s="97"/>
      <x:c r="C100" s="98" t="str">
        <x:f t="shared" si="3"/>
        <x:v/>
      </x:c>
      <x:c r="D100" s="99"/>
      <x:c r="E100" s="100"/>
      <x:c r="F100" s="98" t="str">
        <x:f t="shared" si="4"/>
        <x:v/>
      </x:c>
      <x:c r="G100" s="99"/>
      <x:c r="H100" s="100"/>
      <x:c r="I100" s="98" t="str">
        <x:f t="shared" si="5"/>
        <x:v/>
      </x:c>
    </x:row>
    <x:row r="101" spans="1:9" s="98" customFormat="1" ht="16.399999999999999">
      <x:c r="A101" s="96"/>
      <x:c r="B101" s="97"/>
      <x:c r="C101" s="98" t="str">
        <x:f t="shared" si="3"/>
        <x:v/>
      </x:c>
      <x:c r="D101" s="99"/>
      <x:c r="E101" s="100"/>
      <x:c r="F101" s="98" t="str">
        <x:f t="shared" si="4"/>
        <x:v/>
      </x:c>
      <x:c r="G101" s="99"/>
      <x:c r="H101" s="100"/>
      <x:c r="I101" s="98" t="str">
        <x:f t="shared" si="5"/>
        <x:v/>
      </x:c>
    </x:row>
    <x:row r="102" spans="1:9" s="98" customFormat="1" ht="16.399999999999999">
      <x:c r="A102" s="96"/>
      <x:c r="B102" s="97"/>
      <x:c r="C102" s="98" t="str">
        <x:f t="shared" si="3"/>
        <x:v/>
      </x:c>
      <x:c r="D102" s="99"/>
      <x:c r="E102" s="100"/>
      <x:c r="F102" s="98" t="str">
        <x:f t="shared" si="4"/>
        <x:v/>
      </x:c>
      <x:c r="G102" s="99"/>
      <x:c r="H102" s="100"/>
      <x:c r="I102" s="98" t="str">
        <x:f t="shared" si="5"/>
        <x:v/>
      </x:c>
    </x:row>
    <x:row r="103" spans="1:9" s="98" customFormat="1" ht="16.399999999999999">
      <x:c r="A103" s="96"/>
      <x:c r="B103" s="97"/>
      <x:c r="C103" s="98" t="str">
        <x:f t="shared" si="3"/>
        <x:v/>
      </x:c>
      <x:c r="D103" s="99"/>
      <x:c r="E103" s="100"/>
      <x:c r="F103" s="98" t="str">
        <x:f t="shared" si="4"/>
        <x:v/>
      </x:c>
      <x:c r="G103" s="99"/>
      <x:c r="H103" s="100"/>
      <x:c r="I103" s="98" t="str">
        <x:f t="shared" si="5"/>
        <x:v/>
      </x:c>
    </x:row>
    <x:row r="104" spans="1:9" s="98" customFormat="1" ht="16.399999999999999">
      <x:c r="A104" s="96"/>
      <x:c r="B104" s="97"/>
      <x:c r="C104" s="98" t="str">
        <x:f t="shared" si="3"/>
        <x:v/>
      </x:c>
      <x:c r="D104" s="99"/>
      <x:c r="E104" s="100"/>
      <x:c r="F104" s="98" t="str">
        <x:f t="shared" si="4"/>
        <x:v/>
      </x:c>
      <x:c r="G104" s="99"/>
      <x:c r="H104" s="100"/>
      <x:c r="I104" s="98" t="str">
        <x:f t="shared" si="5"/>
        <x:v/>
      </x:c>
    </x:row>
    <x:row r="105" spans="1:9" s="98" customFormat="1" ht="16.399999999999999">
      <x:c r="A105" s="96"/>
      <x:c r="B105" s="97"/>
      <x:c r="C105" s="98" t="str">
        <x:f t="shared" si="3"/>
        <x:v/>
      </x:c>
      <x:c r="D105" s="99"/>
      <x:c r="E105" s="100"/>
      <x:c r="F105" s="98" t="str">
        <x:f t="shared" si="4"/>
        <x:v/>
      </x:c>
      <x:c r="G105" s="99"/>
      <x:c r="H105" s="100"/>
      <x:c r="I105" s="98" t="str">
        <x:f t="shared" si="5"/>
        <x:v/>
      </x:c>
    </x:row>
    <x:row r="106" spans="1:9" s="98" customFormat="1" ht="16.399999999999999">
      <x:c r="A106" s="96"/>
      <x:c r="B106" s="97"/>
      <x:c r="C106" s="98" t="str">
        <x:f t="shared" si="3"/>
        <x:v/>
      </x:c>
      <x:c r="D106" s="99"/>
      <x:c r="E106" s="100"/>
      <x:c r="F106" s="98" t="str">
        <x:f t="shared" si="4"/>
        <x:v/>
      </x:c>
      <x:c r="G106" s="99"/>
      <x:c r="H106" s="100"/>
      <x:c r="I106" s="98" t="str">
        <x:f t="shared" si="5"/>
        <x:v/>
      </x:c>
    </x:row>
    <x:row r="107" spans="1:9" s="98" customFormat="1" ht="16.399999999999999">
      <x:c r="A107" s="96"/>
      <x:c r="B107" s="97"/>
      <x:c r="C107" s="98" t="str">
        <x:f t="shared" si="3"/>
        <x:v/>
      </x:c>
      <x:c r="D107" s="99"/>
      <x:c r="E107" s="100"/>
      <x:c r="F107" s="98" t="str">
        <x:f t="shared" si="4"/>
        <x:v/>
      </x:c>
      <x:c r="G107" s="99"/>
      <x:c r="H107" s="100"/>
      <x:c r="I107" s="98" t="str">
        <x:f t="shared" si="5"/>
        <x:v/>
      </x:c>
    </x:row>
    <x:row r="108" spans="1:9" s="98" customFormat="1" ht="16.399999999999999">
      <x:c r="A108" s="96"/>
      <x:c r="B108" s="97"/>
      <x:c r="C108" s="98" t="str">
        <x:f t="shared" si="3"/>
        <x:v/>
      </x:c>
      <x:c r="D108" s="99"/>
      <x:c r="E108" s="100"/>
      <x:c r="F108" s="98" t="str">
        <x:f t="shared" si="4"/>
        <x:v/>
      </x:c>
      <x:c r="G108" s="99"/>
      <x:c r="H108" s="100"/>
      <x:c r="I108" s="98" t="str">
        <x:f t="shared" si="5"/>
        <x:v/>
      </x:c>
    </x:row>
    <x:row r="109" spans="1:9" s="98" customFormat="1" ht="16.399999999999999">
      <x:c r="A109" s="96"/>
      <x:c r="B109" s="97"/>
      <x:c r="C109" s="98" t="str">
        <x:f t="shared" si="3"/>
        <x:v/>
      </x:c>
      <x:c r="D109" s="99"/>
      <x:c r="E109" s="100"/>
      <x:c r="F109" s="98" t="str">
        <x:f t="shared" si="4"/>
        <x:v/>
      </x:c>
      <x:c r="G109" s="99"/>
      <x:c r="H109" s="100"/>
      <x:c r="I109" s="98" t="str">
        <x:f t="shared" si="5"/>
        <x:v/>
      </x:c>
    </x:row>
    <x:row r="110" spans="1:9" s="98" customFormat="1" ht="16.399999999999999">
      <x:c r="A110" s="96"/>
      <x:c r="B110" s="97"/>
      <x:c r="C110" s="98" t="str">
        <x:f t="shared" si="3"/>
        <x:v/>
      </x:c>
      <x:c r="D110" s="99"/>
      <x:c r="E110" s="100"/>
      <x:c r="F110" s="98" t="str">
        <x:f t="shared" si="4"/>
        <x:v/>
      </x:c>
      <x:c r="G110" s="99"/>
      <x:c r="H110" s="100"/>
      <x:c r="I110" s="98" t="str">
        <x:f t="shared" si="5"/>
        <x:v/>
      </x:c>
    </x:row>
    <x:row r="111" spans="1:9" s="98" customFormat="1" ht="16.399999999999999">
      <x:c r="A111" s="96"/>
      <x:c r="B111" s="97"/>
      <x:c r="C111" s="98" t="str">
        <x:f t="shared" si="3"/>
        <x:v/>
      </x:c>
      <x:c r="D111" s="99"/>
      <x:c r="E111" s="100"/>
      <x:c r="F111" s="98" t="str">
        <x:f t="shared" si="4"/>
        <x:v/>
      </x:c>
      <x:c r="G111" s="99"/>
      <x:c r="H111" s="100"/>
      <x:c r="I111" s="98" t="str">
        <x:f t="shared" si="5"/>
        <x:v/>
      </x:c>
    </x:row>
    <x:row r="112" spans="1:9" s="98" customFormat="1" ht="16.399999999999999">
      <x:c r="A112" s="96"/>
      <x:c r="B112" s="97"/>
      <x:c r="C112" s="98" t="str">
        <x:f t="shared" si="3"/>
        <x:v/>
      </x:c>
      <x:c r="D112" s="99"/>
      <x:c r="E112" s="100"/>
      <x:c r="F112" s="98" t="str">
        <x:f t="shared" si="4"/>
        <x:v/>
      </x:c>
      <x:c r="G112" s="99"/>
      <x:c r="H112" s="100"/>
      <x:c r="I112" s="98" t="str">
        <x:f t="shared" si="5"/>
        <x:v/>
      </x:c>
    </x:row>
    <x:row r="113" spans="1:9" s="98" customFormat="1" ht="16.399999999999999">
      <x:c r="A113" s="96"/>
      <x:c r="B113" s="97"/>
      <x:c r="C113" s="98" t="str">
        <x:f t="shared" si="3"/>
        <x:v/>
      </x:c>
      <x:c r="D113" s="99"/>
      <x:c r="E113" s="100"/>
      <x:c r="F113" s="98" t="str">
        <x:f t="shared" si="4"/>
        <x:v/>
      </x:c>
      <x:c r="G113" s="99"/>
      <x:c r="H113" s="100"/>
      <x:c r="I113" s="98" t="str">
        <x:f t="shared" si="5"/>
        <x:v/>
      </x:c>
    </x:row>
    <x:row r="114" spans="1:9" s="98" customFormat="1" ht="16.399999999999999">
      <x:c r="A114" s="96"/>
      <x:c r="B114" s="97"/>
      <x:c r="C114" s="98" t="str">
        <x:f t="shared" si="3"/>
        <x:v/>
      </x:c>
      <x:c r="D114" s="99"/>
      <x:c r="E114" s="100"/>
      <x:c r="F114" s="98" t="str">
        <x:f t="shared" si="4"/>
        <x:v/>
      </x:c>
      <x:c r="G114" s="99"/>
      <x:c r="H114" s="100"/>
      <x:c r="I114" s="98" t="str">
        <x:f t="shared" si="5"/>
        <x:v/>
      </x:c>
    </x:row>
    <x:row r="115" spans="1:9" s="98" customFormat="1" ht="16.399999999999999">
      <x:c r="A115" s="96"/>
      <x:c r="B115" s="97"/>
      <x:c r="C115" s="98" t="str">
        <x:f t="shared" si="3"/>
        <x:v/>
      </x:c>
      <x:c r="D115" s="99"/>
      <x:c r="E115" s="100"/>
      <x:c r="F115" s="98" t="str">
        <x:f t="shared" si="4"/>
        <x:v/>
      </x:c>
      <x:c r="G115" s="99"/>
      <x:c r="H115" s="100"/>
      <x:c r="I115" s="98" t="str">
        <x:f t="shared" si="5"/>
        <x:v/>
      </x:c>
    </x:row>
    <x:row r="116" spans="1:9" s="98" customFormat="1" ht="16.399999999999999">
      <x:c r="A116" s="96"/>
      <x:c r="B116" s="97"/>
      <x:c r="C116" s="98" t="str">
        <x:f t="shared" si="3"/>
        <x:v/>
      </x:c>
      <x:c r="D116" s="99"/>
      <x:c r="E116" s="100"/>
      <x:c r="F116" s="98" t="str">
        <x:f t="shared" si="4"/>
        <x:v/>
      </x:c>
      <x:c r="G116" s="99"/>
      <x:c r="H116" s="100"/>
      <x:c r="I116" s="98" t="str">
        <x:f t="shared" si="5"/>
        <x:v/>
      </x:c>
    </x:row>
    <x:row r="117" spans="1:9" s="98" customFormat="1" ht="16.399999999999999">
      <x:c r="A117" s="96"/>
      <x:c r="B117" s="97"/>
      <x:c r="C117" s="98" t="str">
        <x:f t="shared" si="3"/>
        <x:v/>
      </x:c>
      <x:c r="D117" s="99"/>
      <x:c r="E117" s="100"/>
      <x:c r="F117" s="98" t="str">
        <x:f t="shared" si="4"/>
        <x:v/>
      </x:c>
      <x:c r="G117" s="99"/>
      <x:c r="H117" s="100"/>
      <x:c r="I117" s="98" t="str">
        <x:f t="shared" si="5"/>
        <x:v/>
      </x:c>
    </x:row>
    <x:row r="118" spans="1:9" s="98" customFormat="1" ht="16.399999999999999">
      <x:c r="A118" s="96"/>
      <x:c r="B118" s="97"/>
      <x:c r="C118" s="98" t="str">
        <x:f t="shared" si="3"/>
        <x:v/>
      </x:c>
      <x:c r="D118" s="99"/>
      <x:c r="E118" s="100"/>
      <x:c r="F118" s="98" t="str">
        <x:f t="shared" si="4"/>
        <x:v/>
      </x:c>
      <x:c r="G118" s="99"/>
      <x:c r="H118" s="100"/>
      <x:c r="I118" s="98" t="str">
        <x:f t="shared" si="5"/>
        <x:v/>
      </x:c>
    </x:row>
    <x:row r="119" spans="1:9" s="98" customFormat="1" ht="16.399999999999999">
      <x:c r="A119" s="96"/>
      <x:c r="B119" s="97"/>
      <x:c r="C119" s="98" t="str">
        <x:f t="shared" si="3"/>
        <x:v/>
      </x:c>
      <x:c r="D119" s="99"/>
      <x:c r="E119" s="100"/>
      <x:c r="F119" s="98" t="str">
        <x:f t="shared" si="4"/>
        <x:v/>
      </x:c>
      <x:c r="G119" s="99"/>
      <x:c r="H119" s="100"/>
      <x:c r="I119" s="98" t="str">
        <x:f t="shared" si="5"/>
        <x:v/>
      </x:c>
    </x:row>
    <x:row r="120" spans="1:9" s="98" customFormat="1" ht="16.399999999999999">
      <x:c r="A120" s="96"/>
      <x:c r="B120" s="97"/>
      <x:c r="C120" s="98" t="str">
        <x:f t="shared" si="3"/>
        <x:v/>
      </x:c>
      <x:c r="D120" s="99"/>
      <x:c r="E120" s="100"/>
      <x:c r="F120" s="98" t="str">
        <x:f t="shared" si="4"/>
        <x:v/>
      </x:c>
      <x:c r="G120" s="99"/>
      <x:c r="H120" s="100"/>
      <x:c r="I120" s="98" t="str">
        <x:f t="shared" si="5"/>
        <x:v/>
      </x:c>
    </x:row>
    <x:row r="121" spans="1:9" s="98" customFormat="1" ht="16.399999999999999">
      <x:c r="A121" s="96"/>
      <x:c r="B121" s="97"/>
      <x:c r="C121" s="98" t="str">
        <x:f t="shared" si="3"/>
        <x:v/>
      </x:c>
      <x:c r="D121" s="99"/>
      <x:c r="E121" s="100"/>
      <x:c r="F121" s="98" t="str">
        <x:f t="shared" si="4"/>
        <x:v/>
      </x:c>
      <x:c r="G121" s="99"/>
      <x:c r="H121" s="100"/>
      <x:c r="I121" s="98" t="str">
        <x:f t="shared" si="5"/>
        <x:v/>
      </x:c>
    </x:row>
    <x:row r="122" spans="1:9" s="98" customFormat="1" ht="16.399999999999999">
      <x:c r="A122" s="96"/>
      <x:c r="B122" s="97"/>
      <x:c r="C122" s="98" t="str">
        <x:f t="shared" si="3"/>
        <x:v/>
      </x:c>
      <x:c r="D122" s="99"/>
      <x:c r="E122" s="100"/>
      <x:c r="F122" s="98" t="str">
        <x:f t="shared" si="4"/>
        <x:v/>
      </x:c>
      <x:c r="G122" s="99"/>
      <x:c r="H122" s="100"/>
      <x:c r="I122" s="98" t="str">
        <x:f t="shared" si="5"/>
        <x:v/>
      </x:c>
    </x:row>
    <x:row r="123" spans="1:9" s="98" customFormat="1" ht="16.399999999999999">
      <x:c r="A123" s="96"/>
      <x:c r="B123" s="102"/>
      <x:c r="C123" s="98" t="str">
        <x:f t="shared" si="3"/>
        <x:v/>
      </x:c>
      <x:c r="D123" s="99"/>
      <x:c r="E123" s="100"/>
      <x:c r="F123" s="98" t="str">
        <x:f t="shared" si="4"/>
        <x:v/>
      </x:c>
      <x:c r="G123" s="99"/>
      <x:c r="H123" s="100"/>
      <x:c r="I123" s="98" t="str">
        <x:f t="shared" si="5"/>
        <x:v/>
      </x:c>
    </x:row>
    <x:row r="124" spans="1:9" s="98" customFormat="1" ht="16.399999999999999">
      <x:c r="A124" s="96"/>
      <x:c r="B124" s="97"/>
      <x:c r="C124" s="98" t="str">
        <x:f t="shared" si="3"/>
        <x:v/>
      </x:c>
      <x:c r="D124" s="99"/>
      <x:c r="E124" s="100"/>
      <x:c r="F124" s="98" t="str">
        <x:f t="shared" si="4"/>
        <x:v/>
      </x:c>
      <x:c r="G124" s="99"/>
      <x:c r="H124" s="100"/>
      <x:c r="I124" s="98" t="str">
        <x:f t="shared" si="5"/>
        <x:v/>
      </x:c>
    </x:row>
    <x:row r="125" spans="1:9" s="98" customFormat="1" ht="16.399999999999999">
      <x:c r="A125" s="96"/>
      <x:c r="B125" s="97"/>
      <x:c r="C125" s="98" t="str">
        <x:f t="shared" si="3"/>
        <x:v/>
      </x:c>
      <x:c r="D125" s="99"/>
      <x:c r="E125" s="100"/>
      <x:c r="F125" s="98" t="str">
        <x:f t="shared" si="4"/>
        <x:v/>
      </x:c>
      <x:c r="G125" s="99"/>
      <x:c r="H125" s="100"/>
      <x:c r="I125" s="98" t="str">
        <x:f t="shared" si="5"/>
        <x:v/>
      </x:c>
    </x:row>
    <x:row r="126" spans="1:9" s="98" customFormat="1" ht="16.399999999999999">
      <x:c r="A126" s="96"/>
      <x:c r="B126" s="97"/>
      <x:c r="C126" s="98" t="str">
        <x:f t="shared" si="3"/>
        <x:v/>
      </x:c>
      <x:c r="D126" s="99"/>
      <x:c r="E126" s="100"/>
      <x:c r="F126" s="98" t="str">
        <x:f t="shared" si="4"/>
        <x:v/>
      </x:c>
      <x:c r="G126" s="99"/>
      <x:c r="H126" s="100"/>
      <x:c r="I126" s="98" t="str">
        <x:f t="shared" si="5"/>
        <x:v/>
      </x:c>
    </x:row>
    <x:row r="127" spans="1:9" s="98" customFormat="1" ht="16.399999999999999">
      <x:c r="A127" s="96"/>
      <x:c r="B127" s="97"/>
      <x:c r="C127" s="98" t="str">
        <x:f t="shared" si="3"/>
        <x:v/>
      </x:c>
      <x:c r="D127" s="99"/>
      <x:c r="E127" s="100"/>
      <x:c r="F127" s="98" t="str">
        <x:f t="shared" si="4"/>
        <x:v/>
      </x:c>
      <x:c r="G127" s="99"/>
      <x:c r="H127" s="100"/>
      <x:c r="I127" s="98" t="str">
        <x:f t="shared" si="5"/>
        <x:v/>
      </x:c>
    </x:row>
    <x:row r="128" spans="1:9" s="98" customFormat="1" ht="16.399999999999999">
      <x:c r="A128" s="96"/>
      <x:c r="B128" s="97"/>
      <x:c r="C128" s="98" t="str">
        <x:f t="shared" si="3"/>
        <x:v/>
      </x:c>
      <x:c r="D128" s="99"/>
      <x:c r="E128" s="100"/>
      <x:c r="F128" s="98" t="str">
        <x:f t="shared" si="4"/>
        <x:v/>
      </x:c>
      <x:c r="G128" s="99"/>
      <x:c r="H128" s="100"/>
      <x:c r="I128" s="98" t="str">
        <x:f t="shared" si="5"/>
        <x:v/>
      </x:c>
    </x:row>
    <x:row r="129" spans="1:9" s="98" customFormat="1" ht="16.399999999999999">
      <x:c r="A129" s="96"/>
      <x:c r="B129" s="97"/>
      <x:c r="C129" s="98" t="str">
        <x:f t="shared" si="3"/>
        <x:v/>
      </x:c>
      <x:c r="D129" s="99"/>
      <x:c r="E129" s="100"/>
      <x:c r="F129" s="98" t="str">
        <x:f t="shared" si="4"/>
        <x:v/>
      </x:c>
      <x:c r="G129" s="99"/>
      <x:c r="H129" s="100"/>
      <x:c r="I129" s="98" t="str">
        <x:f t="shared" si="5"/>
        <x:v/>
      </x:c>
    </x:row>
    <x:row r="130" spans="1:9" s="98" customFormat="1" ht="16.399999999999999">
      <x:c r="A130" s="96"/>
      <x:c r="B130" s="97"/>
      <x:c r="C130" s="98" t="str">
        <x:f t="shared" si="3"/>
        <x:v/>
      </x:c>
      <x:c r="D130" s="99"/>
      <x:c r="E130" s="100"/>
      <x:c r="F130" s="98" t="str">
        <x:f t="shared" si="4"/>
        <x:v/>
      </x:c>
      <x:c r="G130" s="99"/>
      <x:c r="H130" s="100"/>
      <x:c r="I130" s="98" t="str">
        <x:f t="shared" si="5"/>
        <x:v/>
      </x:c>
    </x:row>
    <x:row r="131" spans="1:9" s="98" customFormat="1" ht="16.399999999999999">
      <x:c r="A131" s="96"/>
      <x:c r="B131" s="97"/>
      <x:c r="C131" s="98" t="str">
        <x:f t="shared" si="3"/>
        <x:v/>
      </x:c>
      <x:c r="D131" s="99"/>
      <x:c r="E131" s="100"/>
      <x:c r="F131" s="98" t="str">
        <x:f t="shared" si="4"/>
        <x:v/>
      </x:c>
      <x:c r="G131" s="99"/>
      <x:c r="H131" s="100"/>
      <x:c r="I131" s="98" t="str">
        <x:f t="shared" si="5"/>
        <x:v/>
      </x:c>
    </x:row>
    <x:row r="132" spans="1:9" s="98" customFormat="1" ht="16.399999999999999">
      <x:c r="A132" s="96"/>
      <x:c r="B132" s="97"/>
      <x:c r="C132" s="98" t="str">
        <x:f t="shared" si="3"/>
        <x:v/>
      </x:c>
      <x:c r="D132" s="99"/>
      <x:c r="E132" s="100"/>
      <x:c r="F132" s="98" t="str">
        <x:f t="shared" si="4"/>
        <x:v/>
      </x:c>
      <x:c r="G132" s="99"/>
      <x:c r="H132" s="100"/>
      <x:c r="I132" s="98" t="str">
        <x:f t="shared" si="5"/>
        <x:v/>
      </x:c>
    </x:row>
    <x:row r="133" spans="1:9" s="98" customFormat="1" ht="16.399999999999999">
      <x:c r="A133" s="96"/>
      <x:c r="B133" s="97"/>
      <x:c r="C133" s="98" t="str">
        <x:f t="shared" ref="C133:C196" si="6">IF(B133&gt;0,TEXT(B133,"(aaa)"),"")</x:f>
        <x:v/>
      </x:c>
      <x:c r="D133" s="99"/>
      <x:c r="E133" s="100"/>
      <x:c r="F133" s="98" t="str">
        <x:f t="shared" ref="F133:F196" si="7">IF(E133&gt;0,TEXT(E133,"(aaa)"),"")</x:f>
        <x:v/>
      </x:c>
      <x:c r="G133" s="99"/>
      <x:c r="H133" s="100"/>
      <x:c r="I133" s="98" t="str">
        <x:f t="shared" ref="I133:I196" si="8">IF(H133&gt;0,TEXT(H133,"(aaa)"),"")</x:f>
        <x:v/>
      </x:c>
    </x:row>
    <x:row r="134" spans="1:9" s="98" customFormat="1" ht="16.399999999999999">
      <x:c r="A134" s="96"/>
      <x:c r="B134" s="97"/>
      <x:c r="C134" s="98" t="str">
        <x:f t="shared" si="6"/>
        <x:v/>
      </x:c>
      <x:c r="D134" s="99"/>
      <x:c r="E134" s="100"/>
      <x:c r="F134" s="98" t="str">
        <x:f t="shared" si="7"/>
        <x:v/>
      </x:c>
      <x:c r="G134" s="99"/>
      <x:c r="H134" s="100"/>
      <x:c r="I134" s="98" t="str">
        <x:f t="shared" si="8"/>
        <x:v/>
      </x:c>
    </x:row>
    <x:row r="135" spans="1:9" s="98" customFormat="1" ht="16.399999999999999">
      <x:c r="A135" s="96"/>
      <x:c r="B135" s="97"/>
      <x:c r="C135" s="98" t="str">
        <x:f t="shared" si="6"/>
        <x:v/>
      </x:c>
      <x:c r="D135" s="99"/>
      <x:c r="E135" s="100"/>
      <x:c r="F135" s="98" t="str">
        <x:f t="shared" si="7"/>
        <x:v/>
      </x:c>
      <x:c r="G135" s="99"/>
      <x:c r="H135" s="100"/>
      <x:c r="I135" s="98" t="str">
        <x:f t="shared" si="8"/>
        <x:v/>
      </x:c>
    </x:row>
    <x:row r="136" spans="1:9" s="98" customFormat="1" ht="16.399999999999999">
      <x:c r="A136" s="96"/>
      <x:c r="B136" s="97"/>
      <x:c r="C136" s="98" t="str">
        <x:f t="shared" si="6"/>
        <x:v/>
      </x:c>
      <x:c r="D136" s="99"/>
      <x:c r="E136" s="100"/>
      <x:c r="F136" s="98" t="str">
        <x:f t="shared" si="7"/>
        <x:v/>
      </x:c>
      <x:c r="G136" s="99"/>
      <x:c r="H136" s="100"/>
      <x:c r="I136" s="98" t="str">
        <x:f t="shared" si="8"/>
        <x:v/>
      </x:c>
    </x:row>
    <x:row r="137" spans="1:9" s="98" customFormat="1" ht="16.399999999999999">
      <x:c r="A137" s="96"/>
      <x:c r="B137" s="97"/>
      <x:c r="C137" s="98" t="str">
        <x:f t="shared" si="6"/>
        <x:v/>
      </x:c>
      <x:c r="D137" s="99"/>
      <x:c r="E137" s="100"/>
      <x:c r="F137" s="98" t="str">
        <x:f t="shared" si="7"/>
        <x:v/>
      </x:c>
      <x:c r="G137" s="99"/>
      <x:c r="H137" s="100"/>
      <x:c r="I137" s="98" t="str">
        <x:f t="shared" si="8"/>
        <x:v/>
      </x:c>
    </x:row>
    <x:row r="138" spans="1:9" s="98" customFormat="1" ht="16.399999999999999">
      <x:c r="A138" s="96"/>
      <x:c r="B138" s="97"/>
      <x:c r="C138" s="98" t="str">
        <x:f t="shared" si="6"/>
        <x:v/>
      </x:c>
      <x:c r="D138" s="99"/>
      <x:c r="E138" s="100"/>
      <x:c r="F138" s="98" t="str">
        <x:f t="shared" si="7"/>
        <x:v/>
      </x:c>
      <x:c r="G138" s="99"/>
      <x:c r="H138" s="100"/>
      <x:c r="I138" s="98" t="str">
        <x:f t="shared" si="8"/>
        <x:v/>
      </x:c>
    </x:row>
    <x:row r="139" spans="1:9" s="98" customFormat="1" ht="16.399999999999999">
      <x:c r="A139" s="96"/>
      <x:c r="B139" s="97"/>
      <x:c r="C139" s="98" t="str">
        <x:f t="shared" si="6"/>
        <x:v/>
      </x:c>
      <x:c r="D139" s="99"/>
      <x:c r="E139" s="100"/>
      <x:c r="F139" s="98" t="str">
        <x:f t="shared" si="7"/>
        <x:v/>
      </x:c>
      <x:c r="G139" s="99"/>
      <x:c r="H139" s="100"/>
      <x:c r="I139" s="98" t="str">
        <x:f t="shared" si="8"/>
        <x:v/>
      </x:c>
    </x:row>
    <x:row r="140" spans="1:9" s="98" customFormat="1" ht="16.399999999999999">
      <x:c r="A140" s="96"/>
      <x:c r="B140" s="97"/>
      <x:c r="C140" s="98" t="str">
        <x:f t="shared" si="6"/>
        <x:v/>
      </x:c>
      <x:c r="D140" s="99"/>
      <x:c r="E140" s="100"/>
      <x:c r="F140" s="98" t="str">
        <x:f t="shared" si="7"/>
        <x:v/>
      </x:c>
      <x:c r="G140" s="99"/>
      <x:c r="H140" s="100"/>
      <x:c r="I140" s="98" t="str">
        <x:f t="shared" si="8"/>
        <x:v/>
      </x:c>
    </x:row>
    <x:row r="141" spans="1:9" s="98" customFormat="1" ht="16.399999999999999">
      <x:c r="A141" s="96"/>
      <x:c r="B141" s="97"/>
      <x:c r="C141" s="98" t="str">
        <x:f t="shared" si="6"/>
        <x:v/>
      </x:c>
      <x:c r="D141" s="99"/>
      <x:c r="E141" s="100"/>
      <x:c r="F141" s="98" t="str">
        <x:f t="shared" si="7"/>
        <x:v/>
      </x:c>
      <x:c r="G141" s="99"/>
      <x:c r="H141" s="100"/>
      <x:c r="I141" s="98" t="str">
        <x:f t="shared" si="8"/>
        <x:v/>
      </x:c>
    </x:row>
    <x:row r="142" spans="1:9" s="98" customFormat="1" ht="16.399999999999999">
      <x:c r="A142" s="96"/>
      <x:c r="B142" s="97"/>
      <x:c r="C142" s="98" t="str">
        <x:f t="shared" si="6"/>
        <x:v/>
      </x:c>
      <x:c r="D142" s="99"/>
      <x:c r="E142" s="100"/>
      <x:c r="F142" s="98" t="str">
        <x:f t="shared" si="7"/>
        <x:v/>
      </x:c>
      <x:c r="G142" s="99"/>
      <x:c r="H142" s="100"/>
      <x:c r="I142" s="98" t="str">
        <x:f t="shared" si="8"/>
        <x:v/>
      </x:c>
    </x:row>
    <x:row r="143" spans="1:9" s="98" customFormat="1" ht="16.399999999999999">
      <x:c r="A143" s="96"/>
      <x:c r="B143" s="97"/>
      <x:c r="C143" s="98" t="str">
        <x:f t="shared" si="6"/>
        <x:v/>
      </x:c>
      <x:c r="D143" s="99"/>
      <x:c r="E143" s="100"/>
      <x:c r="F143" s="98" t="str">
        <x:f t="shared" si="7"/>
        <x:v/>
      </x:c>
      <x:c r="G143" s="99"/>
      <x:c r="H143" s="100"/>
      <x:c r="I143" s="98" t="str">
        <x:f t="shared" si="8"/>
        <x:v/>
      </x:c>
    </x:row>
    <x:row r="144" spans="1:9" s="98" customFormat="1" ht="16.399999999999999">
      <x:c r="A144" s="96"/>
      <x:c r="B144" s="97"/>
      <x:c r="C144" s="98" t="str">
        <x:f t="shared" si="6"/>
        <x:v/>
      </x:c>
      <x:c r="D144" s="99"/>
      <x:c r="E144" s="100"/>
      <x:c r="F144" s="98" t="str">
        <x:f t="shared" si="7"/>
        <x:v/>
      </x:c>
      <x:c r="G144" s="99"/>
      <x:c r="H144" s="100"/>
      <x:c r="I144" s="98" t="str">
        <x:f t="shared" si="8"/>
        <x:v/>
      </x:c>
    </x:row>
    <x:row r="145" spans="1:9" s="98" customFormat="1" ht="16.399999999999999">
      <x:c r="A145" s="96"/>
      <x:c r="B145" s="97"/>
      <x:c r="C145" s="98" t="str">
        <x:f t="shared" si="6"/>
        <x:v/>
      </x:c>
      <x:c r="D145" s="99"/>
      <x:c r="E145" s="100"/>
      <x:c r="F145" s="98" t="str">
        <x:f t="shared" si="7"/>
        <x:v/>
      </x:c>
      <x:c r="G145" s="99"/>
      <x:c r="H145" s="100"/>
      <x:c r="I145" s="98" t="str">
        <x:f t="shared" si="8"/>
        <x:v/>
      </x:c>
    </x:row>
    <x:row r="146" spans="1:9" s="98" customFormat="1" ht="16.399999999999999">
      <x:c r="A146" s="96"/>
      <x:c r="B146" s="97"/>
      <x:c r="C146" s="98" t="str">
        <x:f t="shared" si="6"/>
        <x:v/>
      </x:c>
      <x:c r="D146" s="99"/>
      <x:c r="E146" s="100"/>
      <x:c r="F146" s="98" t="str">
        <x:f t="shared" si="7"/>
        <x:v/>
      </x:c>
      <x:c r="G146" s="99"/>
      <x:c r="H146" s="100"/>
      <x:c r="I146" s="98" t="str">
        <x:f t="shared" si="8"/>
        <x:v/>
      </x:c>
    </x:row>
    <x:row r="147" spans="1:9" s="98" customFormat="1" ht="16.399999999999999">
      <x:c r="A147" s="96"/>
      <x:c r="B147" s="97"/>
      <x:c r="C147" s="98" t="str">
        <x:f t="shared" si="6"/>
        <x:v/>
      </x:c>
      <x:c r="D147" s="99"/>
      <x:c r="E147" s="100"/>
      <x:c r="F147" s="98" t="str">
        <x:f t="shared" si="7"/>
        <x:v/>
      </x:c>
      <x:c r="G147" s="99"/>
      <x:c r="H147" s="100"/>
      <x:c r="I147" s="98" t="str">
        <x:f t="shared" si="8"/>
        <x:v/>
      </x:c>
    </x:row>
    <x:row r="148" spans="1:9" s="98" customFormat="1" ht="16.399999999999999">
      <x:c r="A148" s="96"/>
      <x:c r="B148" s="97"/>
      <x:c r="C148" s="98" t="str">
        <x:f t="shared" si="6"/>
        <x:v/>
      </x:c>
      <x:c r="D148" s="99"/>
      <x:c r="E148" s="100"/>
      <x:c r="F148" s="98" t="str">
        <x:f t="shared" si="7"/>
        <x:v/>
      </x:c>
      <x:c r="G148" s="99"/>
      <x:c r="H148" s="100"/>
      <x:c r="I148" s="98" t="str">
        <x:f t="shared" si="8"/>
        <x:v/>
      </x:c>
    </x:row>
    <x:row r="149" spans="1:9" s="98" customFormat="1" ht="16.399999999999999">
      <x:c r="A149" s="96"/>
      <x:c r="B149" s="97"/>
      <x:c r="C149" s="98" t="str">
        <x:f t="shared" si="6"/>
        <x:v/>
      </x:c>
      <x:c r="D149" s="99"/>
      <x:c r="E149" s="100"/>
      <x:c r="F149" s="98" t="str">
        <x:f t="shared" si="7"/>
        <x:v/>
      </x:c>
      <x:c r="G149" s="99"/>
      <x:c r="H149" s="100"/>
      <x:c r="I149" s="98" t="str">
        <x:f t="shared" si="8"/>
        <x:v/>
      </x:c>
    </x:row>
    <x:row r="150" spans="1:9" s="98" customFormat="1" ht="16.399999999999999">
      <x:c r="A150" s="96"/>
      <x:c r="B150" s="97"/>
      <x:c r="C150" s="98" t="str">
        <x:f t="shared" si="6"/>
        <x:v/>
      </x:c>
      <x:c r="D150" s="99"/>
      <x:c r="E150" s="100"/>
      <x:c r="F150" s="98" t="str">
        <x:f t="shared" si="7"/>
        <x:v/>
      </x:c>
      <x:c r="G150" s="99"/>
      <x:c r="H150" s="100"/>
      <x:c r="I150" s="98" t="str">
        <x:f t="shared" si="8"/>
        <x:v/>
      </x:c>
    </x:row>
    <x:row r="151" spans="1:9" s="98" customFormat="1" ht="16.399999999999999">
      <x:c r="A151" s="96"/>
      <x:c r="B151" s="97"/>
      <x:c r="C151" s="98" t="str">
        <x:f t="shared" si="6"/>
        <x:v/>
      </x:c>
      <x:c r="D151" s="99"/>
      <x:c r="E151" s="100"/>
      <x:c r="F151" s="98" t="str">
        <x:f t="shared" si="7"/>
        <x:v/>
      </x:c>
      <x:c r="G151" s="99"/>
      <x:c r="H151" s="100"/>
      <x:c r="I151" s="98" t="str">
        <x:f t="shared" si="8"/>
        <x:v/>
      </x:c>
    </x:row>
    <x:row r="152" spans="1:9" s="98" customFormat="1" ht="16.399999999999999">
      <x:c r="A152" s="96"/>
      <x:c r="B152" s="97"/>
      <x:c r="C152" s="98" t="str">
        <x:f t="shared" si="6"/>
        <x:v/>
      </x:c>
      <x:c r="D152" s="99"/>
      <x:c r="E152" s="100"/>
      <x:c r="F152" s="98" t="str">
        <x:f t="shared" si="7"/>
        <x:v/>
      </x:c>
      <x:c r="G152" s="99"/>
      <x:c r="H152" s="100"/>
      <x:c r="I152" s="98" t="str">
        <x:f t="shared" si="8"/>
        <x:v/>
      </x:c>
    </x:row>
    <x:row r="153" spans="1:9" s="98" customFormat="1" ht="16.399999999999999">
      <x:c r="A153" s="96"/>
      <x:c r="B153" s="97"/>
      <x:c r="C153" s="98" t="str">
        <x:f t="shared" si="6"/>
        <x:v/>
      </x:c>
      <x:c r="D153" s="99"/>
      <x:c r="E153" s="100"/>
      <x:c r="F153" s="98" t="str">
        <x:f t="shared" si="7"/>
        <x:v/>
      </x:c>
      <x:c r="G153" s="99"/>
      <x:c r="H153" s="100"/>
      <x:c r="I153" s="98" t="str">
        <x:f t="shared" si="8"/>
        <x:v/>
      </x:c>
    </x:row>
    <x:row r="154" spans="1:9" s="98" customFormat="1" ht="16.399999999999999">
      <x:c r="A154" s="96"/>
      <x:c r="B154" s="97"/>
      <x:c r="C154" s="98" t="str">
        <x:f t="shared" si="6"/>
        <x:v/>
      </x:c>
      <x:c r="D154" s="99"/>
      <x:c r="E154" s="100"/>
      <x:c r="F154" s="98" t="str">
        <x:f t="shared" si="7"/>
        <x:v/>
      </x:c>
      <x:c r="G154" s="99"/>
      <x:c r="H154" s="100"/>
      <x:c r="I154" s="98" t="str">
        <x:f t="shared" si="8"/>
        <x:v/>
      </x:c>
    </x:row>
    <x:row r="155" spans="1:9" s="98" customFormat="1" ht="16.399999999999999">
      <x:c r="A155" s="96"/>
      <x:c r="B155" s="97"/>
      <x:c r="C155" s="98" t="str">
        <x:f t="shared" si="6"/>
        <x:v/>
      </x:c>
      <x:c r="D155" s="99"/>
      <x:c r="E155" s="100"/>
      <x:c r="F155" s="98" t="str">
        <x:f t="shared" si="7"/>
        <x:v/>
      </x:c>
      <x:c r="G155" s="99"/>
      <x:c r="H155" s="100"/>
      <x:c r="I155" s="98" t="str">
        <x:f t="shared" si="8"/>
        <x:v/>
      </x:c>
    </x:row>
    <x:row r="156" spans="1:9" s="98" customFormat="1" ht="16.399999999999999">
      <x:c r="A156" s="96"/>
      <x:c r="B156" s="97"/>
      <x:c r="C156" s="98" t="str">
        <x:f t="shared" si="6"/>
        <x:v/>
      </x:c>
      <x:c r="D156" s="99"/>
      <x:c r="E156" s="100"/>
      <x:c r="F156" s="98" t="str">
        <x:f t="shared" si="7"/>
        <x:v/>
      </x:c>
      <x:c r="G156" s="99"/>
      <x:c r="H156" s="100"/>
      <x:c r="I156" s="98" t="str">
        <x:f t="shared" si="8"/>
        <x:v/>
      </x:c>
    </x:row>
    <x:row r="157" spans="1:9" s="98" customFormat="1" ht="16.399999999999999">
      <x:c r="A157" s="96"/>
      <x:c r="B157" s="97"/>
      <x:c r="C157" s="98" t="str">
        <x:f t="shared" si="6"/>
        <x:v/>
      </x:c>
      <x:c r="D157" s="99"/>
      <x:c r="E157" s="100"/>
      <x:c r="F157" s="98" t="str">
        <x:f t="shared" si="7"/>
        <x:v/>
      </x:c>
      <x:c r="G157" s="99"/>
      <x:c r="H157" s="100"/>
      <x:c r="I157" s="98" t="str">
        <x:f t="shared" si="8"/>
        <x:v/>
      </x:c>
    </x:row>
    <x:row r="158" spans="1:9" s="98" customFormat="1" ht="16.399999999999999">
      <x:c r="A158" s="96"/>
      <x:c r="B158" s="97"/>
      <x:c r="C158" s="98" t="str">
        <x:f t="shared" si="6"/>
        <x:v/>
      </x:c>
      <x:c r="D158" s="99"/>
      <x:c r="E158" s="100"/>
      <x:c r="F158" s="98" t="str">
        <x:f t="shared" si="7"/>
        <x:v/>
      </x:c>
      <x:c r="G158" s="99"/>
      <x:c r="H158" s="100"/>
      <x:c r="I158" s="98" t="str">
        <x:f t="shared" si="8"/>
        <x:v/>
      </x:c>
    </x:row>
    <x:row r="159" spans="1:9" s="98" customFormat="1" ht="16.399999999999999">
      <x:c r="A159" s="96"/>
      <x:c r="B159" s="97"/>
      <x:c r="C159" s="98" t="str">
        <x:f t="shared" si="6"/>
        <x:v/>
      </x:c>
      <x:c r="D159" s="99"/>
      <x:c r="E159" s="100"/>
      <x:c r="F159" s="98" t="str">
        <x:f t="shared" si="7"/>
        <x:v/>
      </x:c>
      <x:c r="G159" s="99"/>
      <x:c r="H159" s="100"/>
      <x:c r="I159" s="98" t="str">
        <x:f t="shared" si="8"/>
        <x:v/>
      </x:c>
    </x:row>
    <x:row r="160" spans="1:9" s="98" customFormat="1" ht="16.399999999999999">
      <x:c r="A160" s="96"/>
      <x:c r="B160" s="97"/>
      <x:c r="C160" s="98" t="str">
        <x:f t="shared" si="6"/>
        <x:v/>
      </x:c>
      <x:c r="D160" s="99"/>
      <x:c r="E160" s="100"/>
      <x:c r="F160" s="98" t="str">
        <x:f t="shared" si="7"/>
        <x:v/>
      </x:c>
      <x:c r="G160" s="99"/>
      <x:c r="H160" s="100"/>
      <x:c r="I160" s="98" t="str">
        <x:f t="shared" si="8"/>
        <x:v/>
      </x:c>
    </x:row>
    <x:row r="161" spans="1:9" s="98" customFormat="1" ht="16.399999999999999">
      <x:c r="A161" s="96"/>
      <x:c r="B161" s="97"/>
      <x:c r="C161" s="98" t="str">
        <x:f t="shared" si="6"/>
        <x:v/>
      </x:c>
      <x:c r="D161" s="99"/>
      <x:c r="E161" s="100"/>
      <x:c r="F161" s="98" t="str">
        <x:f t="shared" si="7"/>
        <x:v/>
      </x:c>
      <x:c r="G161" s="99"/>
      <x:c r="H161" s="100"/>
      <x:c r="I161" s="98" t="str">
        <x:f t="shared" si="8"/>
        <x:v/>
      </x:c>
    </x:row>
    <x:row r="162" spans="1:9" s="98" customFormat="1" ht="16.399999999999999">
      <x:c r="A162" s="96"/>
      <x:c r="B162" s="97"/>
      <x:c r="C162" s="98" t="str">
        <x:f t="shared" si="6"/>
        <x:v/>
      </x:c>
      <x:c r="D162" s="99"/>
      <x:c r="E162" s="100"/>
      <x:c r="F162" s="98" t="str">
        <x:f t="shared" si="7"/>
        <x:v/>
      </x:c>
      <x:c r="G162" s="99"/>
      <x:c r="H162" s="100"/>
      <x:c r="I162" s="98" t="str">
        <x:f t="shared" si="8"/>
        <x:v/>
      </x:c>
    </x:row>
    <x:row r="163" spans="1:9" s="98" customFormat="1" ht="16.399999999999999">
      <x:c r="A163" s="96"/>
      <x:c r="B163" s="97"/>
      <x:c r="C163" s="98" t="str">
        <x:f t="shared" si="6"/>
        <x:v/>
      </x:c>
      <x:c r="D163" s="99"/>
      <x:c r="E163" s="100"/>
      <x:c r="F163" s="98" t="str">
        <x:f t="shared" si="7"/>
        <x:v/>
      </x:c>
      <x:c r="G163" s="99"/>
      <x:c r="H163" s="100"/>
      <x:c r="I163" s="98" t="str">
        <x:f t="shared" si="8"/>
        <x:v/>
      </x:c>
    </x:row>
    <x:row r="164" spans="1:9" s="98" customFormat="1" ht="16.399999999999999">
      <x:c r="A164" s="96"/>
      <x:c r="B164" s="97"/>
      <x:c r="C164" s="98" t="str">
        <x:f t="shared" si="6"/>
        <x:v/>
      </x:c>
      <x:c r="D164" s="99"/>
      <x:c r="E164" s="100"/>
      <x:c r="F164" s="98" t="str">
        <x:f t="shared" si="7"/>
        <x:v/>
      </x:c>
      <x:c r="G164" s="99"/>
      <x:c r="H164" s="100"/>
      <x:c r="I164" s="98" t="str">
        <x:f t="shared" si="8"/>
        <x:v/>
      </x:c>
    </x:row>
    <x:row r="165" spans="1:9" s="98" customFormat="1" ht="16.399999999999999">
      <x:c r="A165" s="96"/>
      <x:c r="B165" s="97"/>
      <x:c r="C165" s="98" t="str">
        <x:f t="shared" si="6"/>
        <x:v/>
      </x:c>
      <x:c r="D165" s="99"/>
      <x:c r="E165" s="100"/>
      <x:c r="F165" s="98" t="str">
        <x:f t="shared" si="7"/>
        <x:v/>
      </x:c>
      <x:c r="G165" s="99"/>
      <x:c r="H165" s="100"/>
      <x:c r="I165" s="98" t="str">
        <x:f t="shared" si="8"/>
        <x:v/>
      </x:c>
    </x:row>
    <x:row r="166" spans="1:9" s="98" customFormat="1" ht="16.399999999999999">
      <x:c r="A166" s="96"/>
      <x:c r="B166" s="97"/>
      <x:c r="C166" s="98" t="str">
        <x:f t="shared" si="6"/>
        <x:v/>
      </x:c>
      <x:c r="D166" s="99"/>
      <x:c r="E166" s="100"/>
      <x:c r="F166" s="98" t="str">
        <x:f t="shared" si="7"/>
        <x:v/>
      </x:c>
      <x:c r="G166" s="99"/>
      <x:c r="H166" s="100"/>
      <x:c r="I166" s="98" t="str">
        <x:f t="shared" si="8"/>
        <x:v/>
      </x:c>
    </x:row>
    <x:row r="167" spans="1:9" s="98" customFormat="1" ht="16.399999999999999">
      <x:c r="A167" s="96"/>
      <x:c r="B167" s="97"/>
      <x:c r="C167" s="98" t="str">
        <x:f t="shared" si="6"/>
        <x:v/>
      </x:c>
      <x:c r="D167" s="99"/>
      <x:c r="E167" s="100"/>
      <x:c r="F167" s="98" t="str">
        <x:f t="shared" si="7"/>
        <x:v/>
      </x:c>
      <x:c r="G167" s="99"/>
      <x:c r="H167" s="100"/>
      <x:c r="I167" s="98" t="str">
        <x:f t="shared" si="8"/>
        <x:v/>
      </x:c>
    </x:row>
    <x:row r="168" spans="1:9" s="98" customFormat="1" ht="16.399999999999999">
      <x:c r="A168" s="96"/>
      <x:c r="B168" s="97"/>
      <x:c r="C168" s="98" t="str">
        <x:f t="shared" si="6"/>
        <x:v/>
      </x:c>
      <x:c r="D168" s="99"/>
      <x:c r="E168" s="100"/>
      <x:c r="F168" s="98" t="str">
        <x:f t="shared" si="7"/>
        <x:v/>
      </x:c>
      <x:c r="G168" s="99"/>
      <x:c r="H168" s="100"/>
      <x:c r="I168" s="98" t="str">
        <x:f t="shared" si="8"/>
        <x:v/>
      </x:c>
    </x:row>
    <x:row r="169" spans="1:9" s="98" customFormat="1" ht="16.399999999999999">
      <x:c r="A169" s="96"/>
      <x:c r="B169" s="97"/>
      <x:c r="C169" s="98" t="str">
        <x:f t="shared" si="6"/>
        <x:v/>
      </x:c>
      <x:c r="D169" s="99"/>
      <x:c r="E169" s="100"/>
      <x:c r="F169" s="98" t="str">
        <x:f t="shared" si="7"/>
        <x:v/>
      </x:c>
      <x:c r="G169" s="99"/>
      <x:c r="H169" s="100"/>
      <x:c r="I169" s="98" t="str">
        <x:f t="shared" si="8"/>
        <x:v/>
      </x:c>
    </x:row>
    <x:row r="170" spans="1:9" s="98" customFormat="1" ht="16.399999999999999">
      <x:c r="A170" s="96"/>
      <x:c r="B170" s="97"/>
      <x:c r="C170" s="98" t="str">
        <x:f t="shared" si="6"/>
        <x:v/>
      </x:c>
      <x:c r="D170" s="99"/>
      <x:c r="E170" s="100"/>
      <x:c r="F170" s="98" t="str">
        <x:f t="shared" si="7"/>
        <x:v/>
      </x:c>
      <x:c r="G170" s="99"/>
      <x:c r="H170" s="100"/>
      <x:c r="I170" s="98" t="str">
        <x:f t="shared" si="8"/>
        <x:v/>
      </x:c>
    </x:row>
    <x:row r="171" spans="1:9" s="98" customFormat="1" ht="16.399999999999999">
      <x:c r="A171" s="96"/>
      <x:c r="B171" s="97"/>
      <x:c r="C171" s="98" t="str">
        <x:f t="shared" si="6"/>
        <x:v/>
      </x:c>
      <x:c r="D171" s="99"/>
      <x:c r="E171" s="100"/>
      <x:c r="F171" s="98" t="str">
        <x:f t="shared" si="7"/>
        <x:v/>
      </x:c>
      <x:c r="G171" s="99"/>
      <x:c r="H171" s="100"/>
      <x:c r="I171" s="98" t="str">
        <x:f t="shared" si="8"/>
        <x:v/>
      </x:c>
    </x:row>
    <x:row r="172" spans="1:9" s="98" customFormat="1" ht="16.399999999999999">
      <x:c r="A172" s="96"/>
      <x:c r="B172" s="97"/>
      <x:c r="C172" s="98" t="str">
        <x:f t="shared" si="6"/>
        <x:v/>
      </x:c>
      <x:c r="D172" s="99"/>
      <x:c r="E172" s="100"/>
      <x:c r="F172" s="98" t="str">
        <x:f t="shared" si="7"/>
        <x:v/>
      </x:c>
      <x:c r="G172" s="99"/>
      <x:c r="H172" s="100"/>
      <x:c r="I172" s="98" t="str">
        <x:f t="shared" si="8"/>
        <x:v/>
      </x:c>
    </x:row>
    <x:row r="173" spans="1:9" s="98" customFormat="1" ht="16.399999999999999">
      <x:c r="A173" s="96"/>
      <x:c r="B173" s="97"/>
      <x:c r="C173" s="98" t="str">
        <x:f t="shared" si="6"/>
        <x:v/>
      </x:c>
      <x:c r="D173" s="99"/>
      <x:c r="E173" s="100"/>
      <x:c r="F173" s="98" t="str">
        <x:f t="shared" si="7"/>
        <x:v/>
      </x:c>
      <x:c r="G173" s="99"/>
      <x:c r="H173" s="100"/>
      <x:c r="I173" s="98" t="str">
        <x:f t="shared" si="8"/>
        <x:v/>
      </x:c>
    </x:row>
    <x:row r="174" spans="1:9" s="98" customFormat="1" ht="16.399999999999999">
      <x:c r="A174" s="96"/>
      <x:c r="B174" s="97"/>
      <x:c r="C174" s="98" t="str">
        <x:f t="shared" si="6"/>
        <x:v/>
      </x:c>
      <x:c r="D174" s="99"/>
      <x:c r="E174" s="100"/>
      <x:c r="F174" s="98" t="str">
        <x:f t="shared" si="7"/>
        <x:v/>
      </x:c>
      <x:c r="G174" s="99"/>
      <x:c r="H174" s="100"/>
      <x:c r="I174" s="98" t="str">
        <x:f t="shared" si="8"/>
        <x:v/>
      </x:c>
    </x:row>
    <x:row r="175" spans="1:9" s="98" customFormat="1" ht="16.399999999999999">
      <x:c r="A175" s="96"/>
      <x:c r="B175" s="97"/>
      <x:c r="C175" s="98" t="str">
        <x:f t="shared" si="6"/>
        <x:v/>
      </x:c>
      <x:c r="D175" s="99"/>
      <x:c r="E175" s="100"/>
      <x:c r="F175" s="98" t="str">
        <x:f t="shared" si="7"/>
        <x:v/>
      </x:c>
      <x:c r="G175" s="99"/>
      <x:c r="H175" s="100"/>
      <x:c r="I175" s="98" t="str">
        <x:f t="shared" si="8"/>
        <x:v/>
      </x:c>
    </x:row>
    <x:row r="176" spans="1:9" s="98" customFormat="1" ht="16.399999999999999">
      <x:c r="A176" s="96"/>
      <x:c r="B176" s="97"/>
      <x:c r="C176" s="98" t="str">
        <x:f t="shared" si="6"/>
        <x:v/>
      </x:c>
      <x:c r="D176" s="99"/>
      <x:c r="E176" s="100"/>
      <x:c r="F176" s="98" t="str">
        <x:f t="shared" si="7"/>
        <x:v/>
      </x:c>
      <x:c r="G176" s="99"/>
      <x:c r="H176" s="100"/>
      <x:c r="I176" s="98" t="str">
        <x:f t="shared" si="8"/>
        <x:v/>
      </x:c>
    </x:row>
    <x:row r="177" spans="1:9" s="98" customFormat="1" ht="16.399999999999999">
      <x:c r="A177" s="96"/>
      <x:c r="B177" s="97"/>
      <x:c r="C177" s="98" t="str">
        <x:f t="shared" si="6"/>
        <x:v/>
      </x:c>
      <x:c r="D177" s="99"/>
      <x:c r="E177" s="100"/>
      <x:c r="F177" s="98" t="str">
        <x:f t="shared" si="7"/>
        <x:v/>
      </x:c>
      <x:c r="G177" s="99"/>
      <x:c r="H177" s="100"/>
      <x:c r="I177" s="98" t="str">
        <x:f t="shared" si="8"/>
        <x:v/>
      </x:c>
    </x:row>
    <x:row r="178" spans="1:9" s="98" customFormat="1" ht="16.399999999999999">
      <x:c r="A178" s="96"/>
      <x:c r="B178" s="97"/>
      <x:c r="C178" s="98" t="str">
        <x:f t="shared" si="6"/>
        <x:v/>
      </x:c>
      <x:c r="D178" s="99"/>
      <x:c r="E178" s="100"/>
      <x:c r="F178" s="98" t="str">
        <x:f t="shared" si="7"/>
        <x:v/>
      </x:c>
      <x:c r="G178" s="99"/>
      <x:c r="H178" s="100"/>
      <x:c r="I178" s="98" t="str">
        <x:f t="shared" si="8"/>
        <x:v/>
      </x:c>
    </x:row>
    <x:row r="179" spans="1:9" s="98" customFormat="1" ht="16.399999999999999">
      <x:c r="A179" s="96"/>
      <x:c r="B179" s="97"/>
      <x:c r="C179" s="98" t="str">
        <x:f t="shared" si="6"/>
        <x:v/>
      </x:c>
      <x:c r="D179" s="99"/>
      <x:c r="E179" s="100"/>
      <x:c r="F179" s="98" t="str">
        <x:f t="shared" si="7"/>
        <x:v/>
      </x:c>
      <x:c r="G179" s="99"/>
      <x:c r="H179" s="100"/>
      <x:c r="I179" s="98" t="str">
        <x:f t="shared" si="8"/>
        <x:v/>
      </x:c>
    </x:row>
    <x:row r="180" spans="1:9" s="98" customFormat="1" ht="16.399999999999999">
      <x:c r="A180" s="96"/>
      <x:c r="B180" s="97"/>
      <x:c r="C180" s="98" t="str">
        <x:f t="shared" si="6"/>
        <x:v/>
      </x:c>
      <x:c r="D180" s="99"/>
      <x:c r="E180" s="100"/>
      <x:c r="F180" s="98" t="str">
        <x:f t="shared" si="7"/>
        <x:v/>
      </x:c>
      <x:c r="G180" s="99"/>
      <x:c r="H180" s="100"/>
      <x:c r="I180" s="98" t="str">
        <x:f t="shared" si="8"/>
        <x:v/>
      </x:c>
    </x:row>
    <x:row r="181" spans="1:9" s="98" customFormat="1" ht="16.399999999999999">
      <x:c r="A181" s="96"/>
      <x:c r="B181" s="97"/>
      <x:c r="C181" s="98" t="str">
        <x:f t="shared" si="6"/>
        <x:v/>
      </x:c>
      <x:c r="D181" s="99"/>
      <x:c r="E181" s="100"/>
      <x:c r="F181" s="98" t="str">
        <x:f t="shared" si="7"/>
        <x:v/>
      </x:c>
      <x:c r="G181" s="99"/>
      <x:c r="H181" s="100"/>
      <x:c r="I181" s="98" t="str">
        <x:f t="shared" si="8"/>
        <x:v/>
      </x:c>
    </x:row>
    <x:row r="182" spans="1:9" s="98" customFormat="1" ht="16.399999999999999">
      <x:c r="A182" s="96"/>
      <x:c r="B182" s="97"/>
      <x:c r="C182" s="98" t="str">
        <x:f t="shared" si="6"/>
        <x:v/>
      </x:c>
      <x:c r="D182" s="99"/>
      <x:c r="E182" s="100"/>
      <x:c r="F182" s="98" t="str">
        <x:f t="shared" si="7"/>
        <x:v/>
      </x:c>
      <x:c r="G182" s="99"/>
      <x:c r="H182" s="100"/>
      <x:c r="I182" s="98" t="str">
        <x:f t="shared" si="8"/>
        <x:v/>
      </x:c>
    </x:row>
    <x:row r="183" spans="1:9" s="98" customFormat="1" ht="16.399999999999999">
      <x:c r="A183" s="96"/>
      <x:c r="B183" s="97"/>
      <x:c r="C183" s="98" t="str">
        <x:f t="shared" si="6"/>
        <x:v/>
      </x:c>
      <x:c r="D183" s="99"/>
      <x:c r="E183" s="100"/>
      <x:c r="F183" s="98" t="str">
        <x:f t="shared" si="7"/>
        <x:v/>
      </x:c>
      <x:c r="G183" s="99"/>
      <x:c r="H183" s="100"/>
      <x:c r="I183" s="98" t="str">
        <x:f t="shared" si="8"/>
        <x:v/>
      </x:c>
    </x:row>
    <x:row r="184" spans="1:9" s="98" customFormat="1" ht="16.399999999999999">
      <x:c r="A184" s="96"/>
      <x:c r="B184" s="97"/>
      <x:c r="C184" s="98" t="str">
        <x:f t="shared" si="6"/>
        <x:v/>
      </x:c>
      <x:c r="D184" s="99"/>
      <x:c r="E184" s="100"/>
      <x:c r="F184" s="98" t="str">
        <x:f t="shared" si="7"/>
        <x:v/>
      </x:c>
      <x:c r="G184" s="99"/>
      <x:c r="H184" s="100"/>
      <x:c r="I184" s="98" t="str">
        <x:f t="shared" si="8"/>
        <x:v/>
      </x:c>
    </x:row>
    <x:row r="185" spans="1:9" s="98" customFormat="1" ht="16.399999999999999">
      <x:c r="A185" s="96"/>
      <x:c r="B185" s="97"/>
      <x:c r="C185" s="98" t="str">
        <x:f t="shared" si="6"/>
        <x:v/>
      </x:c>
      <x:c r="D185" s="99"/>
      <x:c r="E185" s="100"/>
      <x:c r="F185" s="98" t="str">
        <x:f t="shared" si="7"/>
        <x:v/>
      </x:c>
      <x:c r="G185" s="99"/>
      <x:c r="H185" s="100"/>
      <x:c r="I185" s="98" t="str">
        <x:f t="shared" si="8"/>
        <x:v/>
      </x:c>
    </x:row>
    <x:row r="186" spans="1:9" s="98" customFormat="1" ht="16.399999999999999">
      <x:c r="A186" s="96"/>
      <x:c r="B186" s="97"/>
      <x:c r="C186" s="98" t="str">
        <x:f t="shared" si="6"/>
        <x:v/>
      </x:c>
      <x:c r="D186" s="99"/>
      <x:c r="E186" s="100"/>
      <x:c r="F186" s="98" t="str">
        <x:f t="shared" si="7"/>
        <x:v/>
      </x:c>
      <x:c r="G186" s="99"/>
      <x:c r="H186" s="100"/>
      <x:c r="I186" s="98" t="str">
        <x:f t="shared" si="8"/>
        <x:v/>
      </x:c>
    </x:row>
    <x:row r="187" spans="1:9" s="98" customFormat="1" ht="16.399999999999999">
      <x:c r="A187" s="96"/>
      <x:c r="B187" s="97"/>
      <x:c r="C187" s="98" t="str">
        <x:f t="shared" si="6"/>
        <x:v/>
      </x:c>
      <x:c r="D187" s="99"/>
      <x:c r="E187" s="100"/>
      <x:c r="F187" s="98" t="str">
        <x:f t="shared" si="7"/>
        <x:v/>
      </x:c>
      <x:c r="G187" s="99"/>
      <x:c r="H187" s="100"/>
      <x:c r="I187" s="98" t="str">
        <x:f t="shared" si="8"/>
        <x:v/>
      </x:c>
    </x:row>
    <x:row r="188" spans="1:9" s="98" customFormat="1" ht="16.399999999999999">
      <x:c r="A188" s="96"/>
      <x:c r="B188" s="97"/>
      <x:c r="C188" s="98" t="str">
        <x:f t="shared" si="6"/>
        <x:v/>
      </x:c>
      <x:c r="D188" s="99"/>
      <x:c r="E188" s="100"/>
      <x:c r="F188" s="98" t="str">
        <x:f t="shared" si="7"/>
        <x:v/>
      </x:c>
      <x:c r="G188" s="99"/>
      <x:c r="H188" s="100"/>
      <x:c r="I188" s="98" t="str">
        <x:f t="shared" si="8"/>
        <x:v/>
      </x:c>
    </x:row>
    <x:row r="189" spans="1:9" s="98" customFormat="1" ht="16.399999999999999">
      <x:c r="A189" s="96"/>
      <x:c r="B189" s="97"/>
      <x:c r="C189" s="98" t="str">
        <x:f t="shared" si="6"/>
        <x:v/>
      </x:c>
      <x:c r="D189" s="99"/>
      <x:c r="E189" s="100"/>
      <x:c r="F189" s="98" t="str">
        <x:f t="shared" si="7"/>
        <x:v/>
      </x:c>
      <x:c r="G189" s="99"/>
      <x:c r="H189" s="100"/>
      <x:c r="I189" s="98" t="str">
        <x:f t="shared" si="8"/>
        <x:v/>
      </x:c>
    </x:row>
    <x:row r="190" spans="1:9" s="98" customFormat="1" ht="16.399999999999999">
      <x:c r="A190" s="96"/>
      <x:c r="B190" s="97"/>
      <x:c r="C190" s="98" t="str">
        <x:f t="shared" si="6"/>
        <x:v/>
      </x:c>
      <x:c r="D190" s="99"/>
      <x:c r="E190" s="100"/>
      <x:c r="F190" s="98" t="str">
        <x:f t="shared" si="7"/>
        <x:v/>
      </x:c>
      <x:c r="G190" s="99"/>
      <x:c r="H190" s="100"/>
      <x:c r="I190" s="98" t="str">
        <x:f t="shared" si="8"/>
        <x:v/>
      </x:c>
    </x:row>
    <x:row r="191" spans="1:9" s="98" customFormat="1" ht="16.399999999999999">
      <x:c r="A191" s="96"/>
      <x:c r="B191" s="97"/>
      <x:c r="C191" s="98" t="str">
        <x:f t="shared" si="6"/>
        <x:v/>
      </x:c>
      <x:c r="D191" s="99"/>
      <x:c r="E191" s="100"/>
      <x:c r="F191" s="98" t="str">
        <x:f t="shared" si="7"/>
        <x:v/>
      </x:c>
      <x:c r="G191" s="99"/>
      <x:c r="H191" s="100"/>
      <x:c r="I191" s="98" t="str">
        <x:f t="shared" si="8"/>
        <x:v/>
      </x:c>
    </x:row>
    <x:row r="192" spans="1:9" s="98" customFormat="1" ht="16.399999999999999">
      <x:c r="A192" s="96"/>
      <x:c r="B192" s="97"/>
      <x:c r="C192" s="98" t="str">
        <x:f t="shared" si="6"/>
        <x:v/>
      </x:c>
      <x:c r="D192" s="99"/>
      <x:c r="E192" s="100"/>
      <x:c r="F192" s="98" t="str">
        <x:f t="shared" si="7"/>
        <x:v/>
      </x:c>
      <x:c r="G192" s="99"/>
      <x:c r="H192" s="100"/>
      <x:c r="I192" s="98" t="str">
        <x:f t="shared" si="8"/>
        <x:v/>
      </x:c>
    </x:row>
    <x:row r="193" spans="1:9" s="98" customFormat="1" ht="16.399999999999999">
      <x:c r="A193" s="96"/>
      <x:c r="B193" s="97"/>
      <x:c r="C193" s="98" t="str">
        <x:f t="shared" si="6"/>
        <x:v/>
      </x:c>
      <x:c r="D193" s="99"/>
      <x:c r="E193" s="100"/>
      <x:c r="F193" s="98" t="str">
        <x:f t="shared" si="7"/>
        <x:v/>
      </x:c>
      <x:c r="G193" s="99"/>
      <x:c r="H193" s="100"/>
      <x:c r="I193" s="98" t="str">
        <x:f t="shared" si="8"/>
        <x:v/>
      </x:c>
    </x:row>
    <x:row r="194" spans="1:9" s="98" customFormat="1" ht="16.399999999999999">
      <x:c r="A194" s="96"/>
      <x:c r="B194" s="97"/>
      <x:c r="C194" s="98" t="str">
        <x:f t="shared" si="6"/>
        <x:v/>
      </x:c>
      <x:c r="D194" s="99"/>
      <x:c r="E194" s="100"/>
      <x:c r="F194" s="98" t="str">
        <x:f t="shared" si="7"/>
        <x:v/>
      </x:c>
      <x:c r="G194" s="99"/>
      <x:c r="H194" s="100"/>
      <x:c r="I194" s="98" t="str">
        <x:f t="shared" si="8"/>
        <x:v/>
      </x:c>
    </x:row>
    <x:row r="195" spans="1:9" s="98" customFormat="1" ht="16.399999999999999">
      <x:c r="A195" s="96"/>
      <x:c r="B195" s="97"/>
      <x:c r="C195" s="98" t="str">
        <x:f t="shared" si="6"/>
        <x:v/>
      </x:c>
      <x:c r="D195" s="99"/>
      <x:c r="E195" s="100"/>
      <x:c r="F195" s="98" t="str">
        <x:f t="shared" si="7"/>
        <x:v/>
      </x:c>
      <x:c r="G195" s="99"/>
      <x:c r="H195" s="100"/>
      <x:c r="I195" s="98" t="str">
        <x:f t="shared" si="8"/>
        <x:v/>
      </x:c>
    </x:row>
    <x:row r="196" spans="1:9" s="98" customFormat="1" ht="16.399999999999999">
      <x:c r="A196" s="96"/>
      <x:c r="B196" s="97"/>
      <x:c r="C196" s="98" t="str">
        <x:f t="shared" si="6"/>
        <x:v/>
      </x:c>
      <x:c r="D196" s="99"/>
      <x:c r="E196" s="100"/>
      <x:c r="F196" s="98" t="str">
        <x:f t="shared" si="7"/>
        <x:v/>
      </x:c>
      <x:c r="G196" s="99"/>
      <x:c r="H196" s="100"/>
      <x:c r="I196" s="98" t="str">
        <x:f t="shared" si="8"/>
        <x:v/>
      </x:c>
    </x:row>
    <x:row r="197" spans="1:9" s="98" customFormat="1" ht="16.399999999999999">
      <x:c r="A197" s="96"/>
      <x:c r="B197" s="97"/>
      <x:c r="C197" s="98" t="str">
        <x:f t="shared" ref="C197:C260" si="9">IF(B197&gt;0,TEXT(B197,"(aaa)"),"")</x:f>
        <x:v/>
      </x:c>
      <x:c r="D197" s="99"/>
      <x:c r="E197" s="100"/>
      <x:c r="F197" s="98" t="str">
        <x:f t="shared" ref="F197:F260" si="10">IF(E197&gt;0,TEXT(E197,"(aaa)"),"")</x:f>
        <x:v/>
      </x:c>
      <x:c r="G197" s="99"/>
      <x:c r="H197" s="100"/>
      <x:c r="I197" s="98" t="str">
        <x:f t="shared" ref="I197:I260" si="11">IF(H197&gt;0,TEXT(H197,"(aaa)"),"")</x:f>
        <x:v/>
      </x:c>
    </x:row>
    <x:row r="198" spans="1:9" s="98" customFormat="1" ht="16.399999999999999">
      <x:c r="A198" s="96"/>
      <x:c r="B198" s="97"/>
      <x:c r="C198" s="98" t="str">
        <x:f t="shared" si="9"/>
        <x:v/>
      </x:c>
      <x:c r="D198" s="99"/>
      <x:c r="E198" s="100"/>
      <x:c r="F198" s="98" t="str">
        <x:f t="shared" si="10"/>
        <x:v/>
      </x:c>
      <x:c r="G198" s="99"/>
      <x:c r="H198" s="100"/>
      <x:c r="I198" s="98" t="str">
        <x:f t="shared" si="11"/>
        <x:v/>
      </x:c>
    </x:row>
    <x:row r="199" spans="1:9" s="98" customFormat="1" ht="16.399999999999999">
      <x:c r="A199" s="96"/>
      <x:c r="B199" s="97"/>
      <x:c r="C199" s="98" t="str">
        <x:f t="shared" si="9"/>
        <x:v/>
      </x:c>
      <x:c r="D199" s="99"/>
      <x:c r="E199" s="100"/>
      <x:c r="F199" s="98" t="str">
        <x:f t="shared" si="10"/>
        <x:v/>
      </x:c>
      <x:c r="G199" s="99"/>
      <x:c r="H199" s="100"/>
      <x:c r="I199" s="98" t="str">
        <x:f t="shared" si="11"/>
        <x:v/>
      </x:c>
    </x:row>
    <x:row r="200" spans="1:9" s="98" customFormat="1" ht="16.399999999999999">
      <x:c r="A200" s="96"/>
      <x:c r="B200" s="97"/>
      <x:c r="C200" s="98" t="str">
        <x:f t="shared" si="9"/>
        <x:v/>
      </x:c>
      <x:c r="D200" s="99"/>
      <x:c r="E200" s="100"/>
      <x:c r="F200" s="98" t="str">
        <x:f t="shared" si="10"/>
        <x:v/>
      </x:c>
      <x:c r="G200" s="99"/>
      <x:c r="H200" s="100"/>
      <x:c r="I200" s="98" t="str">
        <x:f t="shared" si="11"/>
        <x:v/>
      </x:c>
    </x:row>
    <x:row r="201" spans="1:9" s="98" customFormat="1" ht="16.399999999999999">
      <x:c r="A201" s="96"/>
      <x:c r="B201" s="97"/>
      <x:c r="C201" s="98" t="str">
        <x:f t="shared" si="9"/>
        <x:v/>
      </x:c>
      <x:c r="D201" s="99"/>
      <x:c r="E201" s="100"/>
      <x:c r="F201" s="98" t="str">
        <x:f t="shared" si="10"/>
        <x:v/>
      </x:c>
      <x:c r="G201" s="99"/>
      <x:c r="H201" s="100"/>
      <x:c r="I201" s="98" t="str">
        <x:f t="shared" si="11"/>
        <x:v/>
      </x:c>
    </x:row>
    <x:row r="202" spans="1:9" s="98" customFormat="1" ht="16.399999999999999">
      <x:c r="A202" s="96"/>
      <x:c r="B202" s="97"/>
      <x:c r="C202" s="98" t="str">
        <x:f t="shared" si="9"/>
        <x:v/>
      </x:c>
      <x:c r="D202" s="99"/>
      <x:c r="E202" s="100"/>
      <x:c r="F202" s="98" t="str">
        <x:f t="shared" si="10"/>
        <x:v/>
      </x:c>
      <x:c r="G202" s="99"/>
      <x:c r="H202" s="100"/>
      <x:c r="I202" s="98" t="str">
        <x:f t="shared" si="11"/>
        <x:v/>
      </x:c>
    </x:row>
    <x:row r="203" spans="1:9" s="98" customFormat="1" ht="16.399999999999999">
      <x:c r="A203" s="96"/>
      <x:c r="B203" s="97"/>
      <x:c r="C203" s="98" t="str">
        <x:f t="shared" si="9"/>
        <x:v/>
      </x:c>
      <x:c r="D203" s="99"/>
      <x:c r="E203" s="100"/>
      <x:c r="F203" s="98" t="str">
        <x:f t="shared" si="10"/>
        <x:v/>
      </x:c>
      <x:c r="G203" s="99"/>
      <x:c r="H203" s="100"/>
      <x:c r="I203" s="98" t="str">
        <x:f t="shared" si="11"/>
        <x:v/>
      </x:c>
    </x:row>
    <x:row r="204" spans="1:9" s="98" customFormat="1" ht="16.399999999999999">
      <x:c r="A204" s="96"/>
      <x:c r="B204" s="97"/>
      <x:c r="C204" s="98" t="str">
        <x:f t="shared" si="9"/>
        <x:v/>
      </x:c>
      <x:c r="D204" s="99"/>
      <x:c r="E204" s="100"/>
      <x:c r="F204" s="98" t="str">
        <x:f t="shared" si="10"/>
        <x:v/>
      </x:c>
      <x:c r="G204" s="99"/>
      <x:c r="H204" s="100"/>
      <x:c r="I204" s="98" t="str">
        <x:f t="shared" si="11"/>
        <x:v/>
      </x:c>
    </x:row>
    <x:row r="205" spans="1:9" s="98" customFormat="1" ht="16.399999999999999">
      <x:c r="A205" s="96"/>
      <x:c r="B205" s="97"/>
      <x:c r="C205" s="98" t="str">
        <x:f t="shared" si="9"/>
        <x:v/>
      </x:c>
      <x:c r="D205" s="99"/>
      <x:c r="E205" s="100"/>
      <x:c r="F205" s="98" t="str">
        <x:f t="shared" si="10"/>
        <x:v/>
      </x:c>
      <x:c r="G205" s="99"/>
      <x:c r="H205" s="100"/>
      <x:c r="I205" s="98" t="str">
        <x:f t="shared" si="11"/>
        <x:v/>
      </x:c>
    </x:row>
    <x:row r="206" spans="1:9" s="98" customFormat="1" ht="16.399999999999999">
      <x:c r="A206" s="96"/>
      <x:c r="B206" s="97"/>
      <x:c r="C206" s="98" t="str">
        <x:f t="shared" si="9"/>
        <x:v/>
      </x:c>
      <x:c r="D206" s="99"/>
      <x:c r="E206" s="100"/>
      <x:c r="F206" s="98" t="str">
        <x:f t="shared" si="10"/>
        <x:v/>
      </x:c>
      <x:c r="G206" s="99"/>
      <x:c r="H206" s="100"/>
      <x:c r="I206" s="98" t="str">
        <x:f t="shared" si="11"/>
        <x:v/>
      </x:c>
    </x:row>
    <x:row r="207" spans="1:9" s="98" customFormat="1" ht="16.399999999999999">
      <x:c r="A207" s="96"/>
      <x:c r="B207" s="97"/>
      <x:c r="C207" s="98" t="str">
        <x:f t="shared" si="9"/>
        <x:v/>
      </x:c>
      <x:c r="D207" s="99"/>
      <x:c r="E207" s="100"/>
      <x:c r="F207" s="98" t="str">
        <x:f t="shared" si="10"/>
        <x:v/>
      </x:c>
      <x:c r="G207" s="99"/>
      <x:c r="H207" s="100"/>
      <x:c r="I207" s="98" t="str">
        <x:f t="shared" si="11"/>
        <x:v/>
      </x:c>
    </x:row>
    <x:row r="208" spans="1:9" s="98" customFormat="1" ht="16.399999999999999">
      <x:c r="A208" s="96"/>
      <x:c r="B208" s="97"/>
      <x:c r="C208" s="98" t="str">
        <x:f t="shared" si="9"/>
        <x:v/>
      </x:c>
      <x:c r="D208" s="99"/>
      <x:c r="E208" s="100"/>
      <x:c r="F208" s="98" t="str">
        <x:f t="shared" si="10"/>
        <x:v/>
      </x:c>
      <x:c r="G208" s="99"/>
      <x:c r="H208" s="100"/>
      <x:c r="I208" s="98" t="str">
        <x:f t="shared" si="11"/>
        <x:v/>
      </x:c>
    </x:row>
    <x:row r="209" spans="1:9" s="98" customFormat="1" ht="16.399999999999999">
      <x:c r="A209" s="96"/>
      <x:c r="B209" s="97"/>
      <x:c r="C209" s="98" t="str">
        <x:f t="shared" si="9"/>
        <x:v/>
      </x:c>
      <x:c r="D209" s="99"/>
      <x:c r="E209" s="100"/>
      <x:c r="F209" s="98" t="str">
        <x:f t="shared" si="10"/>
        <x:v/>
      </x:c>
      <x:c r="G209" s="99"/>
      <x:c r="H209" s="100"/>
      <x:c r="I209" s="98" t="str">
        <x:f t="shared" si="11"/>
        <x:v/>
      </x:c>
    </x:row>
    <x:row r="210" spans="1:9" s="98" customFormat="1" ht="16.399999999999999">
      <x:c r="A210" s="96"/>
      <x:c r="B210" s="97"/>
      <x:c r="C210" s="98" t="str">
        <x:f t="shared" si="9"/>
        <x:v/>
      </x:c>
      <x:c r="D210" s="99"/>
      <x:c r="E210" s="100"/>
      <x:c r="F210" s="98" t="str">
        <x:f t="shared" si="10"/>
        <x:v/>
      </x:c>
      <x:c r="G210" s="99"/>
      <x:c r="H210" s="100"/>
      <x:c r="I210" s="98" t="str">
        <x:f t="shared" si="11"/>
        <x:v/>
      </x:c>
    </x:row>
    <x:row r="211" spans="1:9" s="98" customFormat="1" ht="16.399999999999999">
      <x:c r="A211" s="96"/>
      <x:c r="B211" s="97"/>
      <x:c r="C211" s="98" t="str">
        <x:f t="shared" si="9"/>
        <x:v/>
      </x:c>
      <x:c r="D211" s="99"/>
      <x:c r="E211" s="100"/>
      <x:c r="F211" s="98" t="str">
        <x:f t="shared" si="10"/>
        <x:v/>
      </x:c>
      <x:c r="G211" s="99"/>
      <x:c r="H211" s="100"/>
      <x:c r="I211" s="98" t="str">
        <x:f t="shared" si="11"/>
        <x:v/>
      </x:c>
    </x:row>
    <x:row r="212" spans="1:9" s="98" customFormat="1" ht="16.399999999999999">
      <x:c r="A212" s="96"/>
      <x:c r="B212" s="97"/>
      <x:c r="C212" s="98" t="str">
        <x:f t="shared" si="9"/>
        <x:v/>
      </x:c>
      <x:c r="D212" s="99"/>
      <x:c r="E212" s="100"/>
      <x:c r="F212" s="98" t="str">
        <x:f t="shared" si="10"/>
        <x:v/>
      </x:c>
      <x:c r="G212" s="99"/>
      <x:c r="H212" s="100"/>
      <x:c r="I212" s="98" t="str">
        <x:f t="shared" si="11"/>
        <x:v/>
      </x:c>
    </x:row>
    <x:row r="213" spans="1:9" s="98" customFormat="1" ht="16.399999999999999">
      <x:c r="A213" s="96"/>
      <x:c r="B213" s="97"/>
      <x:c r="C213" s="98" t="str">
        <x:f t="shared" si="9"/>
        <x:v/>
      </x:c>
      <x:c r="D213" s="99"/>
      <x:c r="E213" s="100"/>
      <x:c r="F213" s="98" t="str">
        <x:f t="shared" si="10"/>
        <x:v/>
      </x:c>
      <x:c r="G213" s="99"/>
      <x:c r="H213" s="100"/>
      <x:c r="I213" s="98" t="str">
        <x:f t="shared" si="11"/>
        <x:v/>
      </x:c>
    </x:row>
    <x:row r="214" spans="1:9" s="98" customFormat="1" ht="16.399999999999999">
      <x:c r="A214" s="96"/>
      <x:c r="B214" s="97"/>
      <x:c r="C214" s="98" t="str">
        <x:f t="shared" si="9"/>
        <x:v/>
      </x:c>
      <x:c r="D214" s="99"/>
      <x:c r="E214" s="100"/>
      <x:c r="F214" s="98" t="str">
        <x:f t="shared" si="10"/>
        <x:v/>
      </x:c>
      <x:c r="G214" s="99"/>
      <x:c r="H214" s="100"/>
      <x:c r="I214" s="98" t="str">
        <x:f t="shared" si="11"/>
        <x:v/>
      </x:c>
    </x:row>
    <x:row r="215" spans="1:9" s="98" customFormat="1" ht="16.399999999999999">
      <x:c r="A215" s="96"/>
      <x:c r="B215" s="97"/>
      <x:c r="C215" s="98" t="str">
        <x:f t="shared" si="9"/>
        <x:v/>
      </x:c>
      <x:c r="D215" s="99"/>
      <x:c r="E215" s="100"/>
      <x:c r="F215" s="98" t="str">
        <x:f t="shared" si="10"/>
        <x:v/>
      </x:c>
      <x:c r="G215" s="99"/>
      <x:c r="H215" s="100"/>
      <x:c r="I215" s="98" t="str">
        <x:f t="shared" si="11"/>
        <x:v/>
      </x:c>
    </x:row>
    <x:row r="216" spans="1:9" s="98" customFormat="1" ht="16.399999999999999">
      <x:c r="A216" s="96"/>
      <x:c r="B216" s="97"/>
      <x:c r="C216" s="98" t="str">
        <x:f t="shared" si="9"/>
        <x:v/>
      </x:c>
      <x:c r="D216" s="99"/>
      <x:c r="E216" s="100"/>
      <x:c r="F216" s="98" t="str">
        <x:f t="shared" si="10"/>
        <x:v/>
      </x:c>
      <x:c r="G216" s="99"/>
      <x:c r="H216" s="100"/>
      <x:c r="I216" s="98" t="str">
        <x:f t="shared" si="11"/>
        <x:v/>
      </x:c>
    </x:row>
    <x:row r="217" spans="1:9" s="98" customFormat="1" ht="16.399999999999999">
      <x:c r="A217" s="96"/>
      <x:c r="B217" s="97"/>
      <x:c r="C217" s="98" t="str">
        <x:f t="shared" si="9"/>
        <x:v/>
      </x:c>
      <x:c r="D217" s="99"/>
      <x:c r="E217" s="100"/>
      <x:c r="F217" s="98" t="str">
        <x:f t="shared" si="10"/>
        <x:v/>
      </x:c>
      <x:c r="G217" s="99"/>
      <x:c r="H217" s="100"/>
      <x:c r="I217" s="98" t="str">
        <x:f t="shared" si="11"/>
        <x:v/>
      </x:c>
    </x:row>
    <x:row r="218" spans="1:9" s="98" customFormat="1" ht="16.399999999999999">
      <x:c r="A218" s="96"/>
      <x:c r="B218" s="97"/>
      <x:c r="C218" s="98" t="str">
        <x:f t="shared" si="9"/>
        <x:v/>
      </x:c>
      <x:c r="D218" s="99"/>
      <x:c r="E218" s="100"/>
      <x:c r="F218" s="98" t="str">
        <x:f t="shared" si="10"/>
        <x:v/>
      </x:c>
      <x:c r="G218" s="99"/>
      <x:c r="H218" s="100"/>
      <x:c r="I218" s="98" t="str">
        <x:f t="shared" si="11"/>
        <x:v/>
      </x:c>
    </x:row>
    <x:row r="219" spans="1:9" s="98" customFormat="1" ht="16.399999999999999">
      <x:c r="A219" s="96"/>
      <x:c r="B219" s="97"/>
      <x:c r="C219" s="98" t="str">
        <x:f t="shared" si="9"/>
        <x:v/>
      </x:c>
      <x:c r="D219" s="99"/>
      <x:c r="E219" s="100"/>
      <x:c r="F219" s="98" t="str">
        <x:f t="shared" si="10"/>
        <x:v/>
      </x:c>
      <x:c r="G219" s="99"/>
      <x:c r="H219" s="100"/>
      <x:c r="I219" s="98" t="str">
        <x:f t="shared" si="11"/>
        <x:v/>
      </x:c>
    </x:row>
    <x:row r="220" spans="1:9" s="98" customFormat="1" ht="16.399999999999999">
      <x:c r="A220" s="96"/>
      <x:c r="B220" s="97"/>
      <x:c r="C220" s="98" t="str">
        <x:f t="shared" si="9"/>
        <x:v/>
      </x:c>
      <x:c r="D220" s="99"/>
      <x:c r="E220" s="100"/>
      <x:c r="F220" s="98" t="str">
        <x:f t="shared" si="10"/>
        <x:v/>
      </x:c>
      <x:c r="G220" s="99"/>
      <x:c r="H220" s="100"/>
      <x:c r="I220" s="98" t="str">
        <x:f t="shared" si="11"/>
        <x:v/>
      </x:c>
    </x:row>
    <x:row r="221" spans="1:9" s="98" customFormat="1" ht="16.399999999999999">
      <x:c r="A221" s="96"/>
      <x:c r="B221" s="97"/>
      <x:c r="C221" s="98" t="str">
        <x:f t="shared" si="9"/>
        <x:v/>
      </x:c>
      <x:c r="D221" s="99"/>
      <x:c r="E221" s="100"/>
      <x:c r="F221" s="98" t="str">
        <x:f t="shared" si="10"/>
        <x:v/>
      </x:c>
      <x:c r="G221" s="99"/>
      <x:c r="H221" s="100"/>
      <x:c r="I221" s="98" t="str">
        <x:f t="shared" si="11"/>
        <x:v/>
      </x:c>
    </x:row>
    <x:row r="222" spans="1:9" s="98" customFormat="1" ht="16.399999999999999">
      <x:c r="A222" s="96"/>
      <x:c r="B222" s="97"/>
      <x:c r="C222" s="98" t="str">
        <x:f t="shared" si="9"/>
        <x:v/>
      </x:c>
      <x:c r="D222" s="99"/>
      <x:c r="E222" s="100"/>
      <x:c r="F222" s="98" t="str">
        <x:f t="shared" si="10"/>
        <x:v/>
      </x:c>
      <x:c r="G222" s="99"/>
      <x:c r="H222" s="100"/>
      <x:c r="I222" s="98" t="str">
        <x:f t="shared" si="11"/>
        <x:v/>
      </x:c>
    </x:row>
    <x:row r="223" spans="1:9" s="98" customFormat="1" ht="16.399999999999999">
      <x:c r="A223" s="96"/>
      <x:c r="B223" s="97"/>
      <x:c r="C223" s="98" t="str">
        <x:f t="shared" si="9"/>
        <x:v/>
      </x:c>
      <x:c r="D223" s="99"/>
      <x:c r="E223" s="100"/>
      <x:c r="F223" s="98" t="str">
        <x:f t="shared" si="10"/>
        <x:v/>
      </x:c>
      <x:c r="G223" s="99"/>
      <x:c r="H223" s="100"/>
      <x:c r="I223" s="98" t="str">
        <x:f t="shared" si="11"/>
        <x:v/>
      </x:c>
    </x:row>
    <x:row r="224" spans="1:9" s="98" customFormat="1" ht="16.399999999999999">
      <x:c r="A224" s="96"/>
      <x:c r="B224" s="97"/>
      <x:c r="C224" s="98" t="str">
        <x:f t="shared" si="9"/>
        <x:v/>
      </x:c>
      <x:c r="D224" s="99"/>
      <x:c r="E224" s="100"/>
      <x:c r="F224" s="98" t="str">
        <x:f t="shared" si="10"/>
        <x:v/>
      </x:c>
      <x:c r="G224" s="99"/>
      <x:c r="H224" s="100"/>
      <x:c r="I224" s="98" t="str">
        <x:f t="shared" si="11"/>
        <x:v/>
      </x:c>
    </x:row>
    <x:row r="225" spans="1:9" s="98" customFormat="1" ht="16.399999999999999">
      <x:c r="A225" s="96"/>
      <x:c r="B225" s="97"/>
      <x:c r="C225" s="98" t="str">
        <x:f t="shared" si="9"/>
        <x:v/>
      </x:c>
      <x:c r="D225" s="99"/>
      <x:c r="E225" s="100"/>
      <x:c r="F225" s="98" t="str">
        <x:f t="shared" si="10"/>
        <x:v/>
      </x:c>
      <x:c r="G225" s="99"/>
      <x:c r="H225" s="100"/>
      <x:c r="I225" s="98" t="str">
        <x:f t="shared" si="11"/>
        <x:v/>
      </x:c>
    </x:row>
    <x:row r="226" spans="1:9" s="98" customFormat="1" ht="16.399999999999999">
      <x:c r="A226" s="96"/>
      <x:c r="B226" s="97"/>
      <x:c r="C226" s="98" t="str">
        <x:f t="shared" si="9"/>
        <x:v/>
      </x:c>
      <x:c r="D226" s="99"/>
      <x:c r="E226" s="100"/>
      <x:c r="F226" s="98" t="str">
        <x:f t="shared" si="10"/>
        <x:v/>
      </x:c>
      <x:c r="G226" s="99"/>
      <x:c r="H226" s="100"/>
      <x:c r="I226" s="98" t="str">
        <x:f t="shared" si="11"/>
        <x:v/>
      </x:c>
    </x:row>
    <x:row r="227" spans="1:9" s="98" customFormat="1" ht="16.399999999999999">
      <x:c r="A227" s="96"/>
      <x:c r="B227" s="97"/>
      <x:c r="C227" s="98" t="str">
        <x:f t="shared" si="9"/>
        <x:v/>
      </x:c>
      <x:c r="D227" s="99"/>
      <x:c r="E227" s="100"/>
      <x:c r="F227" s="98" t="str">
        <x:f t="shared" si="10"/>
        <x:v/>
      </x:c>
      <x:c r="G227" s="99"/>
      <x:c r="H227" s="100"/>
      <x:c r="I227" s="98" t="str">
        <x:f t="shared" si="11"/>
        <x:v/>
      </x:c>
    </x:row>
    <x:row r="228" spans="1:9" s="98" customFormat="1" ht="16.399999999999999">
      <x:c r="A228" s="96"/>
      <x:c r="B228" s="97"/>
      <x:c r="C228" s="98" t="str">
        <x:f t="shared" si="9"/>
        <x:v/>
      </x:c>
      <x:c r="D228" s="99"/>
      <x:c r="E228" s="100"/>
      <x:c r="F228" s="98" t="str">
        <x:f t="shared" si="10"/>
        <x:v/>
      </x:c>
      <x:c r="G228" s="99"/>
      <x:c r="H228" s="100"/>
      <x:c r="I228" s="98" t="str">
        <x:f t="shared" si="11"/>
        <x:v/>
      </x:c>
    </x:row>
    <x:row r="229" spans="1:9" s="98" customFormat="1" ht="16.399999999999999">
      <x:c r="A229" s="96"/>
      <x:c r="B229" s="97"/>
      <x:c r="C229" s="98" t="str">
        <x:f t="shared" si="9"/>
        <x:v/>
      </x:c>
      <x:c r="D229" s="99"/>
      <x:c r="E229" s="100"/>
      <x:c r="F229" s="98" t="str">
        <x:f t="shared" si="10"/>
        <x:v/>
      </x:c>
      <x:c r="G229" s="99"/>
      <x:c r="H229" s="100"/>
      <x:c r="I229" s="98" t="str">
        <x:f t="shared" si="11"/>
        <x:v/>
      </x:c>
    </x:row>
    <x:row r="230" spans="1:9" s="98" customFormat="1" ht="16.399999999999999">
      <x:c r="A230" s="96"/>
      <x:c r="B230" s="97"/>
      <x:c r="C230" s="98" t="str">
        <x:f t="shared" si="9"/>
        <x:v/>
      </x:c>
      <x:c r="D230" s="99"/>
      <x:c r="E230" s="100"/>
      <x:c r="F230" s="98" t="str">
        <x:f t="shared" si="10"/>
        <x:v/>
      </x:c>
      <x:c r="G230" s="99"/>
      <x:c r="H230" s="100"/>
      <x:c r="I230" s="98" t="str">
        <x:f t="shared" si="11"/>
        <x:v/>
      </x:c>
    </x:row>
    <x:row r="231" spans="1:9" s="98" customFormat="1" ht="16.399999999999999">
      <x:c r="A231" s="96"/>
      <x:c r="B231" s="97"/>
      <x:c r="C231" s="98" t="str">
        <x:f t="shared" si="9"/>
        <x:v/>
      </x:c>
      <x:c r="D231" s="99"/>
      <x:c r="E231" s="100"/>
      <x:c r="F231" s="98" t="str">
        <x:f t="shared" si="10"/>
        <x:v/>
      </x:c>
      <x:c r="G231" s="99"/>
      <x:c r="H231" s="100"/>
      <x:c r="I231" s="98" t="str">
        <x:f t="shared" si="11"/>
        <x:v/>
      </x:c>
    </x:row>
    <x:row r="232" spans="1:9" s="98" customFormat="1" ht="16.399999999999999">
      <x:c r="A232" s="96"/>
      <x:c r="B232" s="97"/>
      <x:c r="C232" s="98" t="str">
        <x:f t="shared" si="9"/>
        <x:v/>
      </x:c>
      <x:c r="D232" s="99"/>
      <x:c r="E232" s="100"/>
      <x:c r="F232" s="98" t="str">
        <x:f t="shared" si="10"/>
        <x:v/>
      </x:c>
      <x:c r="G232" s="99"/>
      <x:c r="H232" s="100"/>
      <x:c r="I232" s="98" t="str">
        <x:f t="shared" si="11"/>
        <x:v/>
      </x:c>
    </x:row>
    <x:row r="233" spans="1:9" s="98" customFormat="1" ht="16.399999999999999">
      <x:c r="A233" s="96"/>
      <x:c r="B233" s="97"/>
      <x:c r="C233" s="98" t="str">
        <x:f t="shared" si="9"/>
        <x:v/>
      </x:c>
      <x:c r="D233" s="99"/>
      <x:c r="E233" s="100"/>
      <x:c r="F233" s="98" t="str">
        <x:f t="shared" si="10"/>
        <x:v/>
      </x:c>
      <x:c r="G233" s="99"/>
      <x:c r="H233" s="100"/>
      <x:c r="I233" s="98" t="str">
        <x:f t="shared" si="11"/>
        <x:v/>
      </x:c>
    </x:row>
    <x:row r="234" spans="1:9" s="98" customFormat="1" ht="16.399999999999999">
      <x:c r="A234" s="96"/>
      <x:c r="B234" s="97"/>
      <x:c r="C234" s="98" t="str">
        <x:f t="shared" si="9"/>
        <x:v/>
      </x:c>
      <x:c r="D234" s="99"/>
      <x:c r="E234" s="100"/>
      <x:c r="F234" s="98" t="str">
        <x:f t="shared" si="10"/>
        <x:v/>
      </x:c>
      <x:c r="G234" s="99"/>
      <x:c r="H234" s="100"/>
      <x:c r="I234" s="98" t="str">
        <x:f t="shared" si="11"/>
        <x:v/>
      </x:c>
    </x:row>
    <x:row r="235" spans="1:9" s="98" customFormat="1" ht="16.399999999999999">
      <x:c r="A235" s="96"/>
      <x:c r="B235" s="97"/>
      <x:c r="C235" s="98" t="str">
        <x:f t="shared" si="9"/>
        <x:v/>
      </x:c>
      <x:c r="D235" s="99"/>
      <x:c r="E235" s="100"/>
      <x:c r="F235" s="98" t="str">
        <x:f t="shared" si="10"/>
        <x:v/>
      </x:c>
      <x:c r="G235" s="99"/>
      <x:c r="H235" s="100"/>
      <x:c r="I235" s="98" t="str">
        <x:f t="shared" si="11"/>
        <x:v/>
      </x:c>
    </x:row>
    <x:row r="236" spans="1:9" s="98" customFormat="1" ht="16.399999999999999">
      <x:c r="A236" s="96"/>
      <x:c r="B236" s="97"/>
      <x:c r="C236" s="98" t="str">
        <x:f t="shared" si="9"/>
        <x:v/>
      </x:c>
      <x:c r="D236" s="99"/>
      <x:c r="E236" s="100"/>
      <x:c r="F236" s="98" t="str">
        <x:f t="shared" si="10"/>
        <x:v/>
      </x:c>
      <x:c r="G236" s="99"/>
      <x:c r="H236" s="100"/>
      <x:c r="I236" s="98" t="str">
        <x:f t="shared" si="11"/>
        <x:v/>
      </x:c>
    </x:row>
    <x:row r="237" spans="1:9" s="98" customFormat="1" ht="16.399999999999999">
      <x:c r="A237" s="96"/>
      <x:c r="B237" s="97"/>
      <x:c r="C237" s="98" t="str">
        <x:f t="shared" si="9"/>
        <x:v/>
      </x:c>
      <x:c r="D237" s="99"/>
      <x:c r="E237" s="100"/>
      <x:c r="F237" s="98" t="str">
        <x:f t="shared" si="10"/>
        <x:v/>
      </x:c>
      <x:c r="G237" s="99"/>
      <x:c r="H237" s="100"/>
      <x:c r="I237" s="98" t="str">
        <x:f t="shared" si="11"/>
        <x:v/>
      </x:c>
    </x:row>
    <x:row r="238" spans="1:9" s="98" customFormat="1" ht="16.399999999999999">
      <x:c r="A238" s="96"/>
      <x:c r="B238" s="97"/>
      <x:c r="C238" s="98" t="str">
        <x:f t="shared" si="9"/>
        <x:v/>
      </x:c>
      <x:c r="D238" s="99"/>
      <x:c r="E238" s="100"/>
      <x:c r="F238" s="98" t="str">
        <x:f t="shared" si="10"/>
        <x:v/>
      </x:c>
      <x:c r="G238" s="99"/>
      <x:c r="H238" s="100"/>
      <x:c r="I238" s="98" t="str">
        <x:f t="shared" si="11"/>
        <x:v/>
      </x:c>
    </x:row>
    <x:row r="239" spans="1:9" s="98" customFormat="1" ht="16.399999999999999">
      <x:c r="A239" s="96"/>
      <x:c r="B239" s="97"/>
      <x:c r="C239" s="98" t="str">
        <x:f t="shared" si="9"/>
        <x:v/>
      </x:c>
      <x:c r="D239" s="99"/>
      <x:c r="E239" s="100"/>
      <x:c r="F239" s="98" t="str">
        <x:f t="shared" si="10"/>
        <x:v/>
      </x:c>
      <x:c r="G239" s="99"/>
      <x:c r="H239" s="100"/>
      <x:c r="I239" s="98" t="str">
        <x:f t="shared" si="11"/>
        <x:v/>
      </x:c>
    </x:row>
    <x:row r="240" spans="1:9" s="98" customFormat="1" ht="16.399999999999999">
      <x:c r="A240" s="96"/>
      <x:c r="B240" s="97"/>
      <x:c r="C240" s="98" t="str">
        <x:f t="shared" si="9"/>
        <x:v/>
      </x:c>
      <x:c r="D240" s="99"/>
      <x:c r="E240" s="100"/>
      <x:c r="F240" s="98" t="str">
        <x:f t="shared" si="10"/>
        <x:v/>
      </x:c>
      <x:c r="G240" s="99"/>
      <x:c r="H240" s="100"/>
      <x:c r="I240" s="98" t="str">
        <x:f t="shared" si="11"/>
        <x:v/>
      </x:c>
    </x:row>
    <x:row r="241" spans="1:9" s="98" customFormat="1" ht="16.399999999999999">
      <x:c r="A241" s="96"/>
      <x:c r="B241" s="97"/>
      <x:c r="C241" s="98" t="str">
        <x:f t="shared" si="9"/>
        <x:v/>
      </x:c>
      <x:c r="D241" s="99"/>
      <x:c r="E241" s="100"/>
      <x:c r="F241" s="98" t="str">
        <x:f t="shared" si="10"/>
        <x:v/>
      </x:c>
      <x:c r="G241" s="99"/>
      <x:c r="H241" s="100"/>
      <x:c r="I241" s="98" t="str">
        <x:f t="shared" si="11"/>
        <x:v/>
      </x:c>
    </x:row>
    <x:row r="242" spans="1:9" s="98" customFormat="1" ht="16.399999999999999">
      <x:c r="A242" s="99"/>
      <x:c r="B242" s="100"/>
      <x:c r="C242" s="98" t="str">
        <x:f t="shared" si="9"/>
        <x:v/>
      </x:c>
      <x:c r="D242" s="99"/>
      <x:c r="E242" s="100"/>
      <x:c r="F242" s="98" t="str">
        <x:f t="shared" si="10"/>
        <x:v/>
      </x:c>
      <x:c r="G242" s="99"/>
      <x:c r="H242" s="100"/>
      <x:c r="I242" s="98" t="str">
        <x:f t="shared" si="11"/>
        <x:v/>
      </x:c>
    </x:row>
    <x:row r="243" spans="1:9" s="98" customFormat="1" ht="16.399999999999999">
      <x:c r="A243" s="99"/>
      <x:c r="B243" s="100"/>
      <x:c r="C243" s="98" t="str">
        <x:f t="shared" si="9"/>
        <x:v/>
      </x:c>
      <x:c r="D243" s="99"/>
      <x:c r="E243" s="100"/>
      <x:c r="F243" s="98" t="str">
        <x:f t="shared" si="10"/>
        <x:v/>
      </x:c>
      <x:c r="G243" s="99"/>
      <x:c r="H243" s="100"/>
      <x:c r="I243" s="98" t="str">
        <x:f t="shared" si="11"/>
        <x:v/>
      </x:c>
    </x:row>
    <x:row r="244" spans="1:9" s="98" customFormat="1" ht="16.399999999999999">
      <x:c r="A244" s="99"/>
      <x:c r="B244" s="100"/>
      <x:c r="C244" s="98" t="str">
        <x:f t="shared" si="9"/>
        <x:v/>
      </x:c>
      <x:c r="D244" s="99"/>
      <x:c r="E244" s="100"/>
      <x:c r="F244" s="98" t="str">
        <x:f t="shared" si="10"/>
        <x:v/>
      </x:c>
      <x:c r="G244" s="99"/>
      <x:c r="H244" s="100"/>
      <x:c r="I244" s="98" t="str">
        <x:f t="shared" si="11"/>
        <x:v/>
      </x:c>
    </x:row>
    <x:row r="245" spans="1:9" s="98" customFormat="1" ht="16.399999999999999">
      <x:c r="A245" s="99"/>
      <x:c r="B245" s="100"/>
      <x:c r="C245" s="98" t="str">
        <x:f t="shared" si="9"/>
        <x:v/>
      </x:c>
      <x:c r="D245" s="99"/>
      <x:c r="E245" s="100"/>
      <x:c r="F245" s="98" t="str">
        <x:f t="shared" si="10"/>
        <x:v/>
      </x:c>
      <x:c r="G245" s="99"/>
      <x:c r="H245" s="100"/>
      <x:c r="I245" s="98" t="str">
        <x:f t="shared" si="11"/>
        <x:v/>
      </x:c>
    </x:row>
    <x:row r="246" spans="1:9" s="98" customFormat="1" ht="16.399999999999999">
      <x:c r="A246" s="99"/>
      <x:c r="B246" s="100"/>
      <x:c r="C246" s="98" t="str">
        <x:f t="shared" si="9"/>
        <x:v/>
      </x:c>
      <x:c r="D246" s="99"/>
      <x:c r="E246" s="100"/>
      <x:c r="F246" s="98" t="str">
        <x:f t="shared" si="10"/>
        <x:v/>
      </x:c>
      <x:c r="G246" s="99"/>
      <x:c r="H246" s="100"/>
      <x:c r="I246" s="98" t="str">
        <x:f t="shared" si="11"/>
        <x:v/>
      </x:c>
    </x:row>
    <x:row r="247" spans="1:9" s="98" customFormat="1" ht="16.399999999999999">
      <x:c r="A247" s="99"/>
      <x:c r="B247" s="100"/>
      <x:c r="C247" s="98" t="str">
        <x:f t="shared" si="9"/>
        <x:v/>
      </x:c>
      <x:c r="D247" s="99"/>
      <x:c r="E247" s="100"/>
      <x:c r="F247" s="98" t="str">
        <x:f t="shared" si="10"/>
        <x:v/>
      </x:c>
      <x:c r="G247" s="99"/>
      <x:c r="H247" s="100"/>
      <x:c r="I247" s="98" t="str">
        <x:f t="shared" si="11"/>
        <x:v/>
      </x:c>
    </x:row>
    <x:row r="248" spans="1:9" s="98" customFormat="1" ht="16.399999999999999">
      <x:c r="A248" s="99"/>
      <x:c r="B248" s="100"/>
      <x:c r="C248" s="98" t="str">
        <x:f t="shared" si="9"/>
        <x:v/>
      </x:c>
      <x:c r="D248" s="99"/>
      <x:c r="E248" s="100"/>
      <x:c r="F248" s="98" t="str">
        <x:f t="shared" si="10"/>
        <x:v/>
      </x:c>
      <x:c r="G248" s="99"/>
      <x:c r="H248" s="100"/>
      <x:c r="I248" s="98" t="str">
        <x:f t="shared" si="11"/>
        <x:v/>
      </x:c>
    </x:row>
    <x:row r="249" spans="1:9" s="98" customFormat="1" ht="16.399999999999999">
      <x:c r="A249" s="99"/>
      <x:c r="B249" s="100"/>
      <x:c r="C249" s="98" t="str">
        <x:f t="shared" si="9"/>
        <x:v/>
      </x:c>
      <x:c r="D249" s="99"/>
      <x:c r="E249" s="100"/>
      <x:c r="F249" s="98" t="str">
        <x:f t="shared" si="10"/>
        <x:v/>
      </x:c>
      <x:c r="G249" s="99"/>
      <x:c r="H249" s="100"/>
      <x:c r="I249" s="98" t="str">
        <x:f t="shared" si="11"/>
        <x:v/>
      </x:c>
    </x:row>
    <x:row r="250" spans="1:9" s="98" customFormat="1" ht="16.399999999999999">
      <x:c r="A250" s="99"/>
      <x:c r="B250" s="100"/>
      <x:c r="C250" s="98" t="str">
        <x:f t="shared" si="9"/>
        <x:v/>
      </x:c>
      <x:c r="D250" s="99"/>
      <x:c r="E250" s="100"/>
      <x:c r="F250" s="98" t="str">
        <x:f t="shared" si="10"/>
        <x:v/>
      </x:c>
      <x:c r="G250" s="99"/>
      <x:c r="H250" s="100"/>
      <x:c r="I250" s="98" t="str">
        <x:f t="shared" si="11"/>
        <x:v/>
      </x:c>
    </x:row>
    <x:row r="251" spans="1:9" s="98" customFormat="1" ht="16.399999999999999">
      <x:c r="A251" s="99"/>
      <x:c r="B251" s="100"/>
      <x:c r="C251" s="98" t="str">
        <x:f t="shared" si="9"/>
        <x:v/>
      </x:c>
      <x:c r="D251" s="99"/>
      <x:c r="E251" s="100"/>
      <x:c r="F251" s="98" t="str">
        <x:f t="shared" si="10"/>
        <x:v/>
      </x:c>
      <x:c r="G251" s="99"/>
      <x:c r="H251" s="100"/>
      <x:c r="I251" s="98" t="str">
        <x:f t="shared" si="11"/>
        <x:v/>
      </x:c>
    </x:row>
    <x:row r="252" spans="1:9" s="98" customFormat="1" ht="16.399999999999999">
      <x:c r="A252" s="99"/>
      <x:c r="B252" s="100"/>
      <x:c r="C252" s="98" t="str">
        <x:f t="shared" si="9"/>
        <x:v/>
      </x:c>
      <x:c r="D252" s="99"/>
      <x:c r="E252" s="100"/>
      <x:c r="F252" s="98" t="str">
        <x:f t="shared" si="10"/>
        <x:v/>
      </x:c>
      <x:c r="G252" s="99"/>
      <x:c r="H252" s="100"/>
      <x:c r="I252" s="98" t="str">
        <x:f t="shared" si="11"/>
        <x:v/>
      </x:c>
    </x:row>
    <x:row r="253" spans="1:9" s="98" customFormat="1" ht="16.399999999999999">
      <x:c r="A253" s="99"/>
      <x:c r="B253" s="100"/>
      <x:c r="C253" s="98" t="str">
        <x:f t="shared" si="9"/>
        <x:v/>
      </x:c>
      <x:c r="D253" s="99"/>
      <x:c r="E253" s="100"/>
      <x:c r="F253" s="98" t="str">
        <x:f t="shared" si="10"/>
        <x:v/>
      </x:c>
      <x:c r="G253" s="99"/>
      <x:c r="H253" s="100"/>
      <x:c r="I253" s="98" t="str">
        <x:f t="shared" si="11"/>
        <x:v/>
      </x:c>
    </x:row>
    <x:row r="254" spans="1:9" s="98" customFormat="1" ht="16.399999999999999">
      <x:c r="A254" s="99"/>
      <x:c r="B254" s="100"/>
      <x:c r="C254" s="98" t="str">
        <x:f t="shared" si="9"/>
        <x:v/>
      </x:c>
      <x:c r="D254" s="99"/>
      <x:c r="E254" s="100"/>
      <x:c r="F254" s="98" t="str">
        <x:f t="shared" si="10"/>
        <x:v/>
      </x:c>
      <x:c r="G254" s="99"/>
      <x:c r="H254" s="100"/>
      <x:c r="I254" s="98" t="str">
        <x:f t="shared" si="11"/>
        <x:v/>
      </x:c>
    </x:row>
    <x:row r="255" spans="1:9" s="98" customFormat="1" ht="16.399999999999999">
      <x:c r="A255" s="99"/>
      <x:c r="B255" s="100"/>
      <x:c r="C255" s="98" t="str">
        <x:f t="shared" si="9"/>
        <x:v/>
      </x:c>
      <x:c r="D255" s="99"/>
      <x:c r="E255" s="100"/>
      <x:c r="F255" s="98" t="str">
        <x:f t="shared" si="10"/>
        <x:v/>
      </x:c>
      <x:c r="G255" s="99"/>
      <x:c r="H255" s="100"/>
      <x:c r="I255" s="98" t="str">
        <x:f t="shared" si="11"/>
        <x:v/>
      </x:c>
    </x:row>
    <x:row r="256" spans="1:9" s="98" customFormat="1" ht="16.399999999999999">
      <x:c r="A256" s="99"/>
      <x:c r="B256" s="100"/>
      <x:c r="C256" s="98" t="str">
        <x:f t="shared" si="9"/>
        <x:v/>
      </x:c>
      <x:c r="D256" s="99"/>
      <x:c r="E256" s="100"/>
      <x:c r="F256" s="98" t="str">
        <x:f t="shared" si="10"/>
        <x:v/>
      </x:c>
      <x:c r="G256" s="99"/>
      <x:c r="H256" s="100"/>
      <x:c r="I256" s="98" t="str">
        <x:f t="shared" si="11"/>
        <x:v/>
      </x:c>
    </x:row>
    <x:row r="257" spans="1:9" s="98" customFormat="1" ht="16.399999999999999">
      <x:c r="A257" s="99"/>
      <x:c r="B257" s="100"/>
      <x:c r="C257" s="98" t="str">
        <x:f t="shared" si="9"/>
        <x:v/>
      </x:c>
      <x:c r="D257" s="99"/>
      <x:c r="E257" s="100"/>
      <x:c r="F257" s="98" t="str">
        <x:f t="shared" si="10"/>
        <x:v/>
      </x:c>
      <x:c r="G257" s="99"/>
      <x:c r="H257" s="100"/>
      <x:c r="I257" s="98" t="str">
        <x:f t="shared" si="11"/>
        <x:v/>
      </x:c>
    </x:row>
    <x:row r="258" spans="1:9" s="98" customFormat="1" ht="16.399999999999999">
      <x:c r="A258" s="99"/>
      <x:c r="B258" s="100"/>
      <x:c r="C258" s="98" t="str">
        <x:f t="shared" si="9"/>
        <x:v/>
      </x:c>
      <x:c r="D258" s="99"/>
      <x:c r="E258" s="100"/>
      <x:c r="F258" s="98" t="str">
        <x:f t="shared" si="10"/>
        <x:v/>
      </x:c>
      <x:c r="G258" s="99"/>
      <x:c r="H258" s="100"/>
      <x:c r="I258" s="98" t="str">
        <x:f t="shared" si="11"/>
        <x:v/>
      </x:c>
    </x:row>
    <x:row r="259" spans="1:9" s="98" customFormat="1" ht="16.399999999999999">
      <x:c r="A259" s="99"/>
      <x:c r="B259" s="100"/>
      <x:c r="C259" s="98" t="str">
        <x:f t="shared" si="9"/>
        <x:v/>
      </x:c>
      <x:c r="D259" s="99"/>
      <x:c r="E259" s="100"/>
      <x:c r="F259" s="98" t="str">
        <x:f t="shared" si="10"/>
        <x:v/>
      </x:c>
      <x:c r="G259" s="99"/>
      <x:c r="H259" s="100"/>
      <x:c r="I259" s="98" t="str">
        <x:f t="shared" si="11"/>
        <x:v/>
      </x:c>
    </x:row>
    <x:row r="260" spans="1:9" s="98" customFormat="1" ht="16.399999999999999">
      <x:c r="A260" s="99"/>
      <x:c r="B260" s="100"/>
      <x:c r="C260" s="98" t="str">
        <x:f t="shared" si="9"/>
        <x:v/>
      </x:c>
      <x:c r="D260" s="99"/>
      <x:c r="E260" s="100"/>
      <x:c r="F260" s="98" t="str">
        <x:f t="shared" si="10"/>
        <x:v/>
      </x:c>
      <x:c r="G260" s="99"/>
      <x:c r="H260" s="100"/>
      <x:c r="I260" s="98" t="str">
        <x:f t="shared" si="11"/>
        <x:v/>
      </x:c>
    </x:row>
    <x:row r="261" spans="1:9" s="98" customFormat="1" ht="16.399999999999999">
      <x:c r="A261" s="99"/>
      <x:c r="B261" s="100"/>
      <x:c r="C261" s="98" t="str">
        <x:f t="shared" ref="C261:C304" si="12">IF(B261&gt;0,TEXT(B261,"(aaa)"),"")</x:f>
        <x:v/>
      </x:c>
      <x:c r="D261" s="99"/>
      <x:c r="E261" s="100"/>
      <x:c r="F261" s="98" t="str">
        <x:f t="shared" ref="F261:F304" si="13">IF(E261&gt;0,TEXT(E261,"(aaa)"),"")</x:f>
        <x:v/>
      </x:c>
      <x:c r="G261" s="99"/>
      <x:c r="H261" s="100"/>
      <x:c r="I261" s="98" t="str">
        <x:f t="shared" ref="I261:I304" si="14">IF(H261&gt;0,TEXT(H261,"(aaa)"),"")</x:f>
        <x:v/>
      </x:c>
    </x:row>
    <x:row r="262" spans="1:9" s="98" customFormat="1" ht="16.399999999999999">
      <x:c r="A262" s="99"/>
      <x:c r="B262" s="100"/>
      <x:c r="C262" s="98" t="str">
        <x:f t="shared" si="12"/>
        <x:v/>
      </x:c>
      <x:c r="D262" s="99"/>
      <x:c r="E262" s="100"/>
      <x:c r="F262" s="98" t="str">
        <x:f t="shared" si="13"/>
        <x:v/>
      </x:c>
      <x:c r="G262" s="99"/>
      <x:c r="H262" s="100"/>
      <x:c r="I262" s="98" t="str">
        <x:f t="shared" si="14"/>
        <x:v/>
      </x:c>
    </x:row>
    <x:row r="263" spans="1:9" s="98" customFormat="1" ht="16.399999999999999">
      <x:c r="A263" s="99"/>
      <x:c r="B263" s="100"/>
      <x:c r="C263" s="98" t="str">
        <x:f t="shared" si="12"/>
        <x:v/>
      </x:c>
      <x:c r="D263" s="99"/>
      <x:c r="E263" s="100"/>
      <x:c r="F263" s="98" t="str">
        <x:f t="shared" si="13"/>
        <x:v/>
      </x:c>
      <x:c r="G263" s="99"/>
      <x:c r="H263" s="100"/>
      <x:c r="I263" s="98" t="str">
        <x:f t="shared" si="14"/>
        <x:v/>
      </x:c>
    </x:row>
    <x:row r="264" spans="1:9" s="98" customFormat="1" ht="16.399999999999999">
      <x:c r="A264" s="99"/>
      <x:c r="B264" s="100"/>
      <x:c r="C264" s="98" t="str">
        <x:f t="shared" si="12"/>
        <x:v/>
      </x:c>
      <x:c r="D264" s="99"/>
      <x:c r="E264" s="100"/>
      <x:c r="F264" s="98" t="str">
        <x:f t="shared" si="13"/>
        <x:v/>
      </x:c>
      <x:c r="G264" s="99"/>
      <x:c r="H264" s="100"/>
      <x:c r="I264" s="98" t="str">
        <x:f t="shared" si="14"/>
        <x:v/>
      </x:c>
    </x:row>
    <x:row r="265" spans="1:9" s="98" customFormat="1" ht="16.399999999999999">
      <x:c r="A265" s="99"/>
      <x:c r="B265" s="100"/>
      <x:c r="C265" s="98" t="str">
        <x:f t="shared" si="12"/>
        <x:v/>
      </x:c>
      <x:c r="D265" s="99"/>
      <x:c r="E265" s="100"/>
      <x:c r="F265" s="98" t="str">
        <x:f t="shared" si="13"/>
        <x:v/>
      </x:c>
      <x:c r="G265" s="99"/>
      <x:c r="H265" s="100"/>
      <x:c r="I265" s="98" t="str">
        <x:f t="shared" si="14"/>
        <x:v/>
      </x:c>
    </x:row>
    <x:row r="266" spans="1:9" s="98" customFormat="1" ht="16.399999999999999">
      <x:c r="A266" s="99"/>
      <x:c r="B266" s="100"/>
      <x:c r="C266" s="98" t="str">
        <x:f t="shared" si="12"/>
        <x:v/>
      </x:c>
      <x:c r="D266" s="99"/>
      <x:c r="E266" s="100"/>
      <x:c r="F266" s="98" t="str">
        <x:f t="shared" si="13"/>
        <x:v/>
      </x:c>
      <x:c r="G266" s="99"/>
      <x:c r="H266" s="100"/>
      <x:c r="I266" s="98" t="str">
        <x:f t="shared" si="14"/>
        <x:v/>
      </x:c>
    </x:row>
    <x:row r="267" spans="1:9" s="98" customFormat="1" ht="16.399999999999999">
      <x:c r="A267" s="99"/>
      <x:c r="B267" s="100"/>
      <x:c r="C267" s="98" t="str">
        <x:f t="shared" si="12"/>
        <x:v/>
      </x:c>
      <x:c r="D267" s="99"/>
      <x:c r="E267" s="100"/>
      <x:c r="F267" s="98" t="str">
        <x:f t="shared" si="13"/>
        <x:v/>
      </x:c>
      <x:c r="G267" s="99"/>
      <x:c r="H267" s="100"/>
      <x:c r="I267" s="98" t="str">
        <x:f t="shared" si="14"/>
        <x:v/>
      </x:c>
    </x:row>
    <x:row r="268" spans="1:9" s="98" customFormat="1" ht="16.399999999999999">
      <x:c r="A268" s="99"/>
      <x:c r="B268" s="100"/>
      <x:c r="C268" s="98" t="str">
        <x:f t="shared" si="12"/>
        <x:v/>
      </x:c>
      <x:c r="D268" s="99"/>
      <x:c r="E268" s="100"/>
      <x:c r="F268" s="98" t="str">
        <x:f t="shared" si="13"/>
        <x:v/>
      </x:c>
      <x:c r="G268" s="99"/>
      <x:c r="H268" s="100"/>
      <x:c r="I268" s="98" t="str">
        <x:f t="shared" si="14"/>
        <x:v/>
      </x:c>
    </x:row>
    <x:row r="269" spans="1:9" s="98" customFormat="1" ht="16.399999999999999">
      <x:c r="A269" s="99"/>
      <x:c r="B269" s="100"/>
      <x:c r="C269" s="98" t="str">
        <x:f t="shared" si="12"/>
        <x:v/>
      </x:c>
      <x:c r="D269" s="99"/>
      <x:c r="E269" s="100"/>
      <x:c r="F269" s="98" t="str">
        <x:f t="shared" si="13"/>
        <x:v/>
      </x:c>
      <x:c r="G269" s="99"/>
      <x:c r="H269" s="100"/>
      <x:c r="I269" s="98" t="str">
        <x:f t="shared" si="14"/>
        <x:v/>
      </x:c>
    </x:row>
    <x:row r="270" spans="1:9" s="98" customFormat="1" ht="16.399999999999999">
      <x:c r="A270" s="99"/>
      <x:c r="B270" s="100"/>
      <x:c r="C270" s="98" t="str">
        <x:f t="shared" si="12"/>
        <x:v/>
      </x:c>
      <x:c r="D270" s="99"/>
      <x:c r="E270" s="100"/>
      <x:c r="F270" s="98" t="str">
        <x:f t="shared" si="13"/>
        <x:v/>
      </x:c>
      <x:c r="G270" s="99"/>
      <x:c r="H270" s="100"/>
      <x:c r="I270" s="98" t="str">
        <x:f t="shared" si="14"/>
        <x:v/>
      </x:c>
    </x:row>
    <x:row r="271" spans="1:9" s="98" customFormat="1" ht="16.399999999999999">
      <x:c r="A271" s="99"/>
      <x:c r="B271" s="100"/>
      <x:c r="C271" s="98" t="str">
        <x:f t="shared" si="12"/>
        <x:v/>
      </x:c>
      <x:c r="D271" s="99"/>
      <x:c r="E271" s="100"/>
      <x:c r="F271" s="98" t="str">
        <x:f t="shared" si="13"/>
        <x:v/>
      </x:c>
      <x:c r="G271" s="99"/>
      <x:c r="H271" s="100"/>
      <x:c r="I271" s="98" t="str">
        <x:f t="shared" si="14"/>
        <x:v/>
      </x:c>
    </x:row>
    <x:row r="272" spans="1:9" s="98" customFormat="1" ht="16.399999999999999">
      <x:c r="A272" s="99"/>
      <x:c r="B272" s="100"/>
      <x:c r="C272" s="98" t="str">
        <x:f t="shared" si="12"/>
        <x:v/>
      </x:c>
      <x:c r="D272" s="99"/>
      <x:c r="E272" s="100"/>
      <x:c r="F272" s="98" t="str">
        <x:f t="shared" si="13"/>
        <x:v/>
      </x:c>
      <x:c r="G272" s="99"/>
      <x:c r="H272" s="100"/>
      <x:c r="I272" s="98" t="str">
        <x:f t="shared" si="14"/>
        <x:v/>
      </x:c>
    </x:row>
    <x:row r="273" spans="1:9" s="98" customFormat="1" ht="16.399999999999999">
      <x:c r="A273" s="99"/>
      <x:c r="B273" s="100"/>
      <x:c r="C273" s="98" t="str">
        <x:f t="shared" si="12"/>
        <x:v/>
      </x:c>
      <x:c r="D273" s="99"/>
      <x:c r="E273" s="100"/>
      <x:c r="F273" s="98" t="str">
        <x:f t="shared" si="13"/>
        <x:v/>
      </x:c>
      <x:c r="G273" s="99"/>
      <x:c r="H273" s="100"/>
      <x:c r="I273" s="98" t="str">
        <x:f t="shared" si="14"/>
        <x:v/>
      </x:c>
    </x:row>
    <x:row r="274" spans="1:9" s="98" customFormat="1" ht="16.399999999999999">
      <x:c r="A274" s="99"/>
      <x:c r="B274" s="100"/>
      <x:c r="C274" s="98" t="str">
        <x:f t="shared" si="12"/>
        <x:v/>
      </x:c>
      <x:c r="D274" s="99"/>
      <x:c r="E274" s="100"/>
      <x:c r="F274" s="98" t="str">
        <x:f t="shared" si="13"/>
        <x:v/>
      </x:c>
      <x:c r="G274" s="99"/>
      <x:c r="H274" s="100"/>
      <x:c r="I274" s="98" t="str">
        <x:f t="shared" si="14"/>
        <x:v/>
      </x:c>
    </x:row>
    <x:row r="275" spans="1:9" s="98" customFormat="1" ht="16.399999999999999">
      <x:c r="A275" s="99"/>
      <x:c r="B275" s="100"/>
      <x:c r="C275" s="98" t="str">
        <x:f t="shared" si="12"/>
        <x:v/>
      </x:c>
      <x:c r="D275" s="99"/>
      <x:c r="E275" s="100"/>
      <x:c r="F275" s="98" t="str">
        <x:f t="shared" si="13"/>
        <x:v/>
      </x:c>
      <x:c r="G275" s="99"/>
      <x:c r="H275" s="100"/>
      <x:c r="I275" s="98" t="str">
        <x:f t="shared" si="14"/>
        <x:v/>
      </x:c>
    </x:row>
    <x:row r="276" spans="1:9" s="98" customFormat="1" ht="16.399999999999999">
      <x:c r="A276" s="99"/>
      <x:c r="B276" s="100"/>
      <x:c r="C276" s="98" t="str">
        <x:f t="shared" si="12"/>
        <x:v/>
      </x:c>
      <x:c r="D276" s="99"/>
      <x:c r="E276" s="100"/>
      <x:c r="F276" s="98" t="str">
        <x:f t="shared" si="13"/>
        <x:v/>
      </x:c>
      <x:c r="G276" s="99"/>
      <x:c r="H276" s="100"/>
      <x:c r="I276" s="98" t="str">
        <x:f t="shared" si="14"/>
        <x:v/>
      </x:c>
    </x:row>
    <x:row r="277" spans="1:9" s="98" customFormat="1" ht="16.399999999999999">
      <x:c r="A277" s="99"/>
      <x:c r="B277" s="100"/>
      <x:c r="C277" s="98" t="str">
        <x:f t="shared" si="12"/>
        <x:v/>
      </x:c>
      <x:c r="D277" s="99"/>
      <x:c r="E277" s="100"/>
      <x:c r="F277" s="98" t="str">
        <x:f t="shared" si="13"/>
        <x:v/>
      </x:c>
      <x:c r="G277" s="99"/>
      <x:c r="H277" s="100"/>
      <x:c r="I277" s="98" t="str">
        <x:f t="shared" si="14"/>
        <x:v/>
      </x:c>
    </x:row>
    <x:row r="278" spans="1:9" s="98" customFormat="1" ht="16.399999999999999">
      <x:c r="A278" s="99"/>
      <x:c r="B278" s="100"/>
      <x:c r="C278" s="98" t="str">
        <x:f t="shared" si="12"/>
        <x:v/>
      </x:c>
      <x:c r="D278" s="99"/>
      <x:c r="E278" s="100"/>
      <x:c r="F278" s="98" t="str">
        <x:f t="shared" si="13"/>
        <x:v/>
      </x:c>
      <x:c r="G278" s="99"/>
      <x:c r="H278" s="100"/>
      <x:c r="I278" s="98" t="str">
        <x:f t="shared" si="14"/>
        <x:v/>
      </x:c>
    </x:row>
    <x:row r="279" spans="1:9" s="98" customFormat="1" ht="16.399999999999999">
      <x:c r="A279" s="99"/>
      <x:c r="B279" s="100"/>
      <x:c r="C279" s="98" t="str">
        <x:f t="shared" si="12"/>
        <x:v/>
      </x:c>
      <x:c r="D279" s="99"/>
      <x:c r="E279" s="100"/>
      <x:c r="F279" s="98" t="str">
        <x:f t="shared" si="13"/>
        <x:v/>
      </x:c>
      <x:c r="G279" s="99"/>
      <x:c r="H279" s="100"/>
      <x:c r="I279" s="98" t="str">
        <x:f t="shared" si="14"/>
        <x:v/>
      </x:c>
    </x:row>
    <x:row r="280" spans="1:9" s="98" customFormat="1" ht="16.399999999999999">
      <x:c r="A280" s="99"/>
      <x:c r="B280" s="100"/>
      <x:c r="C280" s="98" t="str">
        <x:f t="shared" si="12"/>
        <x:v/>
      </x:c>
      <x:c r="D280" s="99"/>
      <x:c r="E280" s="100"/>
      <x:c r="F280" s="98" t="str">
        <x:f t="shared" si="13"/>
        <x:v/>
      </x:c>
      <x:c r="G280" s="99"/>
      <x:c r="H280" s="100"/>
      <x:c r="I280" s="98" t="str">
        <x:f t="shared" si="14"/>
        <x:v/>
      </x:c>
    </x:row>
    <x:row r="281" spans="1:9" s="98" customFormat="1" ht="16.399999999999999">
      <x:c r="A281" s="99"/>
      <x:c r="B281" s="100"/>
      <x:c r="C281" s="98" t="str">
        <x:f t="shared" si="12"/>
        <x:v/>
      </x:c>
      <x:c r="D281" s="99"/>
      <x:c r="E281" s="100"/>
      <x:c r="F281" s="98" t="str">
        <x:f t="shared" si="13"/>
        <x:v/>
      </x:c>
      <x:c r="G281" s="99"/>
      <x:c r="H281" s="100"/>
      <x:c r="I281" s="98" t="str">
        <x:f t="shared" si="14"/>
        <x:v/>
      </x:c>
    </x:row>
    <x:row r="282" spans="1:9" s="98" customFormat="1" ht="16.399999999999999">
      <x:c r="A282" s="99"/>
      <x:c r="B282" s="100"/>
      <x:c r="C282" s="98" t="str">
        <x:f t="shared" si="12"/>
        <x:v/>
      </x:c>
      <x:c r="D282" s="99"/>
      <x:c r="E282" s="100"/>
      <x:c r="F282" s="98" t="str">
        <x:f t="shared" si="13"/>
        <x:v/>
      </x:c>
      <x:c r="G282" s="99"/>
      <x:c r="H282" s="100"/>
      <x:c r="I282" s="98" t="str">
        <x:f t="shared" si="14"/>
        <x:v/>
      </x:c>
    </x:row>
    <x:row r="283" spans="1:9" s="98" customFormat="1" ht="16.399999999999999">
      <x:c r="A283" s="99"/>
      <x:c r="B283" s="100"/>
      <x:c r="C283" s="98" t="str">
        <x:f t="shared" si="12"/>
        <x:v/>
      </x:c>
      <x:c r="D283" s="99"/>
      <x:c r="E283" s="100"/>
      <x:c r="F283" s="98" t="str">
        <x:f t="shared" si="13"/>
        <x:v/>
      </x:c>
      <x:c r="G283" s="99"/>
      <x:c r="H283" s="100"/>
      <x:c r="I283" s="98" t="str">
        <x:f t="shared" si="14"/>
        <x:v/>
      </x:c>
    </x:row>
    <x:row r="284" spans="1:9" s="98" customFormat="1" ht="16.399999999999999">
      <x:c r="A284" s="99"/>
      <x:c r="B284" s="100"/>
      <x:c r="C284" s="98" t="str">
        <x:f t="shared" si="12"/>
        <x:v/>
      </x:c>
      <x:c r="D284" s="99"/>
      <x:c r="E284" s="100"/>
      <x:c r="F284" s="98" t="str">
        <x:f t="shared" si="13"/>
        <x:v/>
      </x:c>
      <x:c r="G284" s="99"/>
      <x:c r="H284" s="100"/>
      <x:c r="I284" s="98" t="str">
        <x:f t="shared" si="14"/>
        <x:v/>
      </x:c>
    </x:row>
    <x:row r="285" spans="1:9" s="98" customFormat="1" ht="16.399999999999999">
      <x:c r="A285" s="99"/>
      <x:c r="B285" s="100"/>
      <x:c r="C285" s="98" t="str">
        <x:f t="shared" si="12"/>
        <x:v/>
      </x:c>
      <x:c r="D285" s="99"/>
      <x:c r="E285" s="100"/>
      <x:c r="F285" s="98" t="str">
        <x:f t="shared" si="13"/>
        <x:v/>
      </x:c>
      <x:c r="G285" s="99"/>
      <x:c r="H285" s="100"/>
      <x:c r="I285" s="98" t="str">
        <x:f t="shared" si="14"/>
        <x:v/>
      </x:c>
    </x:row>
    <x:row r="286" spans="1:9" s="98" customFormat="1" ht="16.399999999999999">
      <x:c r="A286" s="99"/>
      <x:c r="B286" s="100"/>
      <x:c r="C286" s="98" t="str">
        <x:f t="shared" si="12"/>
        <x:v/>
      </x:c>
      <x:c r="D286" s="99"/>
      <x:c r="E286" s="100"/>
      <x:c r="F286" s="98" t="str">
        <x:f t="shared" si="13"/>
        <x:v/>
      </x:c>
      <x:c r="G286" s="99"/>
      <x:c r="H286" s="100"/>
      <x:c r="I286" s="98" t="str">
        <x:f t="shared" si="14"/>
        <x:v/>
      </x:c>
    </x:row>
    <x:row r="287" spans="1:9" s="98" customFormat="1" ht="16.399999999999999">
      <x:c r="A287" s="99"/>
      <x:c r="B287" s="100"/>
      <x:c r="C287" s="98" t="str">
        <x:f t="shared" si="12"/>
        <x:v/>
      </x:c>
      <x:c r="D287" s="99"/>
      <x:c r="E287" s="100"/>
      <x:c r="F287" s="98" t="str">
        <x:f t="shared" si="13"/>
        <x:v/>
      </x:c>
      <x:c r="G287" s="99"/>
      <x:c r="H287" s="100"/>
      <x:c r="I287" s="98" t="str">
        <x:f t="shared" si="14"/>
        <x:v/>
      </x:c>
    </x:row>
    <x:row r="288" spans="1:9" s="98" customFormat="1" ht="16.399999999999999">
      <x:c r="A288" s="99"/>
      <x:c r="B288" s="100"/>
      <x:c r="C288" s="98" t="str">
        <x:f t="shared" si="12"/>
        <x:v/>
      </x:c>
      <x:c r="D288" s="99"/>
      <x:c r="E288" s="100"/>
      <x:c r="F288" s="98" t="str">
        <x:f t="shared" si="13"/>
        <x:v/>
      </x:c>
      <x:c r="G288" s="99"/>
      <x:c r="H288" s="100"/>
      <x:c r="I288" s="98" t="str">
        <x:f t="shared" si="14"/>
        <x:v/>
      </x:c>
    </x:row>
    <x:row r="289" spans="1:9" s="98" customFormat="1" ht="16.399999999999999">
      <x:c r="A289" s="99"/>
      <x:c r="B289" s="100"/>
      <x:c r="C289" s="98" t="str">
        <x:f t="shared" si="12"/>
        <x:v/>
      </x:c>
      <x:c r="D289" s="99"/>
      <x:c r="E289" s="100"/>
      <x:c r="F289" s="98" t="str">
        <x:f t="shared" si="13"/>
        <x:v/>
      </x:c>
      <x:c r="G289" s="99"/>
      <x:c r="H289" s="100"/>
      <x:c r="I289" s="98" t="str">
        <x:f t="shared" si="14"/>
        <x:v/>
      </x:c>
    </x:row>
    <x:row r="290" spans="1:9" s="98" customFormat="1" ht="16.399999999999999">
      <x:c r="A290" s="99"/>
      <x:c r="B290" s="100"/>
      <x:c r="C290" s="98" t="str">
        <x:f t="shared" si="12"/>
        <x:v/>
      </x:c>
      <x:c r="D290" s="99"/>
      <x:c r="E290" s="100"/>
      <x:c r="F290" s="98" t="str">
        <x:f t="shared" si="13"/>
        <x:v/>
      </x:c>
      <x:c r="G290" s="99"/>
      <x:c r="H290" s="100"/>
      <x:c r="I290" s="98" t="str">
        <x:f t="shared" si="14"/>
        <x:v/>
      </x:c>
    </x:row>
    <x:row r="291" spans="1:9" s="98" customFormat="1" ht="16.399999999999999">
      <x:c r="A291" s="99"/>
      <x:c r="B291" s="100"/>
      <x:c r="C291" s="98" t="str">
        <x:f t="shared" si="12"/>
        <x:v/>
      </x:c>
      <x:c r="D291" s="99"/>
      <x:c r="E291" s="100"/>
      <x:c r="F291" s="98" t="str">
        <x:f t="shared" si="13"/>
        <x:v/>
      </x:c>
      <x:c r="G291" s="99"/>
      <x:c r="H291" s="100"/>
      <x:c r="I291" s="98" t="str">
        <x:f t="shared" si="14"/>
        <x:v/>
      </x:c>
    </x:row>
    <x:row r="292" spans="1:9" s="98" customFormat="1" ht="16.399999999999999">
      <x:c r="A292" s="99"/>
      <x:c r="B292" s="100"/>
      <x:c r="C292" s="98" t="str">
        <x:f t="shared" si="12"/>
        <x:v/>
      </x:c>
      <x:c r="D292" s="99"/>
      <x:c r="E292" s="100"/>
      <x:c r="F292" s="98" t="str">
        <x:f t="shared" si="13"/>
        <x:v/>
      </x:c>
      <x:c r="G292" s="99"/>
      <x:c r="H292" s="100"/>
      <x:c r="I292" s="98" t="str">
        <x:f t="shared" si="14"/>
        <x:v/>
      </x:c>
    </x:row>
    <x:row r="293" spans="1:9" s="98" customFormat="1" ht="16.399999999999999">
      <x:c r="A293" s="99"/>
      <x:c r="B293" s="100"/>
      <x:c r="C293" s="98" t="str">
        <x:f t="shared" si="12"/>
        <x:v/>
      </x:c>
      <x:c r="D293" s="99"/>
      <x:c r="E293" s="100"/>
      <x:c r="F293" s="98" t="str">
        <x:f t="shared" si="13"/>
        <x:v/>
      </x:c>
      <x:c r="G293" s="99"/>
      <x:c r="H293" s="100"/>
      <x:c r="I293" s="98" t="str">
        <x:f t="shared" si="14"/>
        <x:v/>
      </x:c>
    </x:row>
    <x:row r="294" spans="1:9" s="98" customFormat="1" ht="16.399999999999999">
      <x:c r="A294" s="99"/>
      <x:c r="B294" s="100"/>
      <x:c r="C294" s="98" t="str">
        <x:f t="shared" si="12"/>
        <x:v/>
      </x:c>
      <x:c r="D294" s="99"/>
      <x:c r="E294" s="100"/>
      <x:c r="F294" s="98" t="str">
        <x:f t="shared" si="13"/>
        <x:v/>
      </x:c>
      <x:c r="G294" s="99"/>
      <x:c r="H294" s="100"/>
      <x:c r="I294" s="98" t="str">
        <x:f t="shared" si="14"/>
        <x:v/>
      </x:c>
    </x:row>
    <x:row r="295" spans="1:9" s="98" customFormat="1" ht="16.399999999999999">
      <x:c r="A295" s="99"/>
      <x:c r="B295" s="100"/>
      <x:c r="C295" s="98" t="str">
        <x:f t="shared" si="12"/>
        <x:v/>
      </x:c>
      <x:c r="D295" s="99"/>
      <x:c r="E295" s="100"/>
      <x:c r="F295" s="98" t="str">
        <x:f t="shared" si="13"/>
        <x:v/>
      </x:c>
      <x:c r="G295" s="99"/>
      <x:c r="H295" s="100"/>
      <x:c r="I295" s="98" t="str">
        <x:f t="shared" si="14"/>
        <x:v/>
      </x:c>
    </x:row>
    <x:row r="296" spans="1:9" s="98" customFormat="1" ht="16.399999999999999">
      <x:c r="A296" s="99"/>
      <x:c r="B296" s="100"/>
      <x:c r="C296" s="98" t="str">
        <x:f t="shared" si="12"/>
        <x:v/>
      </x:c>
      <x:c r="D296" s="99"/>
      <x:c r="E296" s="100"/>
      <x:c r="F296" s="98" t="str">
        <x:f t="shared" si="13"/>
        <x:v/>
      </x:c>
      <x:c r="G296" s="99"/>
      <x:c r="H296" s="100"/>
      <x:c r="I296" s="98" t="str">
        <x:f t="shared" si="14"/>
        <x:v/>
      </x:c>
    </x:row>
    <x:row r="297" spans="1:9" s="98" customFormat="1" ht="16.399999999999999">
      <x:c r="A297" s="99"/>
      <x:c r="B297" s="100"/>
      <x:c r="C297" s="98" t="str">
        <x:f t="shared" si="12"/>
        <x:v/>
      </x:c>
      <x:c r="D297" s="99"/>
      <x:c r="E297" s="100"/>
      <x:c r="F297" s="98" t="str">
        <x:f t="shared" si="13"/>
        <x:v/>
      </x:c>
      <x:c r="G297" s="99"/>
      <x:c r="H297" s="100"/>
      <x:c r="I297" s="98" t="str">
        <x:f t="shared" si="14"/>
        <x:v/>
      </x:c>
    </x:row>
    <x:row r="298" spans="1:9" s="98" customFormat="1" ht="16.399999999999999">
      <x:c r="A298" s="99"/>
      <x:c r="B298" s="100"/>
      <x:c r="C298" s="98" t="str">
        <x:f t="shared" si="12"/>
        <x:v/>
      </x:c>
      <x:c r="D298" s="99"/>
      <x:c r="E298" s="100"/>
      <x:c r="F298" s="98" t="str">
        <x:f t="shared" si="13"/>
        <x:v/>
      </x:c>
      <x:c r="G298" s="99"/>
      <x:c r="H298" s="100"/>
      <x:c r="I298" s="98" t="str">
        <x:f t="shared" si="14"/>
        <x:v/>
      </x:c>
    </x:row>
    <x:row r="299" spans="1:9" s="98" customFormat="1" ht="16.399999999999999">
      <x:c r="A299" s="99"/>
      <x:c r="B299" s="100"/>
      <x:c r="C299" s="98" t="str">
        <x:f t="shared" si="12"/>
        <x:v/>
      </x:c>
      <x:c r="D299" s="99"/>
      <x:c r="E299" s="100"/>
      <x:c r="F299" s="98" t="str">
        <x:f t="shared" si="13"/>
        <x:v/>
      </x:c>
      <x:c r="G299" s="99"/>
      <x:c r="H299" s="100"/>
      <x:c r="I299" s="98" t="str">
        <x:f t="shared" si="14"/>
        <x:v/>
      </x:c>
    </x:row>
    <x:row r="300" spans="1:9" s="98" customFormat="1" ht="16.399999999999999">
      <x:c r="A300" s="99"/>
      <x:c r="B300" s="100"/>
      <x:c r="C300" s="98" t="str">
        <x:f t="shared" si="12"/>
        <x:v/>
      </x:c>
      <x:c r="D300" s="99"/>
      <x:c r="E300" s="100"/>
      <x:c r="F300" s="98" t="str">
        <x:f t="shared" si="13"/>
        <x:v/>
      </x:c>
      <x:c r="G300" s="99"/>
      <x:c r="H300" s="100"/>
      <x:c r="I300" s="98" t="str">
        <x:f t="shared" si="14"/>
        <x:v/>
      </x:c>
    </x:row>
    <x:row r="301" spans="1:9" s="98" customFormat="1" ht="16.399999999999999">
      <x:c r="A301" s="99"/>
      <x:c r="B301" s="100"/>
      <x:c r="C301" s="98" t="str">
        <x:f t="shared" si="12"/>
        <x:v/>
      </x:c>
      <x:c r="D301" s="99"/>
      <x:c r="E301" s="100"/>
      <x:c r="F301" s="98" t="str">
        <x:f t="shared" si="13"/>
        <x:v/>
      </x:c>
      <x:c r="G301" s="99"/>
      <x:c r="H301" s="100"/>
      <x:c r="I301" s="98" t="str">
        <x:f t="shared" si="14"/>
        <x:v/>
      </x:c>
    </x:row>
    <x:row r="302" spans="1:9" s="98" customFormat="1" ht="16.399999999999999">
      <x:c r="A302" s="99"/>
      <x:c r="B302" s="103"/>
      <x:c r="C302" s="98" t="str">
        <x:f t="shared" si="12"/>
        <x:v/>
      </x:c>
      <x:c r="D302" s="99"/>
      <x:c r="E302" s="103"/>
      <x:c r="F302" s="98" t="str">
        <x:f t="shared" si="13"/>
        <x:v/>
      </x:c>
      <x:c r="G302" s="99"/>
      <x:c r="H302" s="103"/>
      <x:c r="I302" s="98" t="str">
        <x:f t="shared" si="14"/>
        <x:v/>
      </x:c>
    </x:row>
    <x:row r="303" spans="1:9" s="98" customFormat="1" ht="16.399999999999999">
      <x:c r="A303" s="99"/>
      <x:c r="B303" s="103"/>
      <x:c r="C303" s="98" t="str">
        <x:f t="shared" si="12"/>
        <x:v/>
      </x:c>
      <x:c r="D303" s="99"/>
      <x:c r="E303" s="103"/>
      <x:c r="F303" s="98" t="str">
        <x:f t="shared" si="13"/>
        <x:v/>
      </x:c>
      <x:c r="G303" s="99"/>
      <x:c r="H303" s="103"/>
      <x:c r="I303" s="98" t="str">
        <x:f t="shared" si="14"/>
        <x:v/>
      </x:c>
    </x:row>
    <x:row r="304" spans="1:9" s="98" customFormat="1" ht="16.399999999999999">
      <x:c r="A304" s="99"/>
      <x:c r="B304" s="103"/>
      <x:c r="C304" s="98" t="str">
        <x:f t="shared" si="12"/>
        <x:v/>
      </x:c>
      <x:c r="D304" s="99"/>
      <x:c r="E304" s="103"/>
      <x:c r="F304" s="98" t="str">
        <x:f t="shared" si="13"/>
        <x:v/>
      </x:c>
      <x:c r="G304" s="99"/>
      <x:c r="H304" s="103"/>
      <x:c r="I304" s="98" t="str">
        <x:f t="shared" si="14"/>
        <x:v/>
      </x:c>
    </x:row>
    <x:row r="305" spans="1:7" s="98" customFormat="1" ht="16.399999999999999">
      <x:c r="A305" s="98" t="s">
        <x:v>1229</x:v>
      </x:c>
      <x:c r="D305" s="98" t="s">
        <x:v>1229</x:v>
      </x:c>
      <x:c r="G305" s="98" t="s">
        <x:v>1229</x:v>
      </x:c>
    </x:row>
  </x:sheetData>
  <x:mergeCells count="4">
    <x:mergeCell ref="A2:H2"/>
    <x:mergeCell ref="A3:B3"/>
    <x:mergeCell ref="D3:E3"/>
    <x:mergeCell ref="G3:H3"/>
  </x:mergeCells>
  <x:pageMargins left="0.75" right="0.75" top="1" bottom="1" header="0.5" footer="0.5"/>
  <x:pageSetup paperSize="9" scale="100" firstPageNumber="1" fitToWidth="1" fitToHeight="1" orientation="portrait" usePrinterDefaults="1" blackAndWhite="0" draft="0" useFirstPageNumber="0" horizontalDpi="600" verticalDpi="600" copies="1"/>
</x:worksheet>
</file>

<file path=xl/worksheets/sheet7.xml><?xml version="1.0" encoding="utf-8"?>
<x:worksheet xmlns:r="http://schemas.openxmlformats.org/officeDocument/2006/relationships" xmlns:c="http://schemas.openxmlformats.org/drawingml/2006/chart" xmlns:x="http://schemas.openxmlformats.org/spreadsheetml/2006/main">
  <x:sheetPr codeName="Sheet5"/>
  <x:dimension ref="A1:AA583"/>
  <x:sheetViews>
    <x:sheetView topLeftCell="A1" zoomScaleNormal="100" zoomScaleSheetLayoutView="75" workbookViewId="0">
      <x:pane xSplit="0" ySplit="1" topLeftCell="A386" activePane="bottomLeft" state="frozen"/>
      <x:selection pane="bottomLeft" activeCell="E403" activeCellId="0" sqref="E403:E403"/>
    </x:sheetView>
  </x:sheetViews>
  <x:sheetFormatPr defaultColWidth="73.375" defaultRowHeight="12"/>
  <x:cols>
    <x:col min="1" max="1" width="7.625" style="88" bestFit="1" customWidth="1"/>
    <x:col min="2" max="2" width="8.375" style="89" bestFit="1" customWidth="1"/>
    <x:col min="3" max="3" width="15.75" style="90" customWidth="1"/>
    <x:col min="4" max="4" width="47.125" style="91" customWidth="1"/>
    <x:col min="5" max="5" width="56.125" style="91" customWidth="1"/>
    <x:col min="6" max="6" width="57.375" style="88" customWidth="1"/>
    <x:col min="7" max="26" width="73.375" style="88"/>
    <x:col min="27" max="27" width="73.375" style="88" hidden="1" customWidth="1"/>
    <x:col min="28" max="16384" width="73.375" style="88"/>
  </x:cols>
  <x:sheetData>
    <x:row r="1" spans="1:6" s="86" customFormat="1">
      <x:c r="A1" s="86" t="s">
        <x:v>380</x:v>
      </x:c>
      <x:c r="B1" s="86" t="s">
        <x:v>379</x:v>
      </x:c>
      <x:c r="C1" s="87" t="s">
        <x:v>381</x:v>
      </x:c>
      <x:c r="D1" s="87" t="s">
        <x:v>688</x:v>
      </x:c>
      <x:c r="E1" s="87" t="s">
        <x:v>689</x:v>
      </x:c>
      <x:c r="F1" s="86" t="s">
        <x:v>861</x:v>
      </x:c>
    </x:row>
    <x:row r="2" spans="1:6" ht="84">
      <x:c r="A2" s="88" t="s">
        <x:v>1502</x:v>
      </x:c>
      <x:c r="B2" s="89">
        <x:v>1</x:v>
      </x:c>
      <x:c r="C2" s="90" t="s">
        <x:v>1331</x:v>
      </x:c>
      <x:c r="D2" s="91" t="s">
        <x:v>392</x:v>
      </x:c>
      <x:c r="E2" s="91" t="s">
        <x:v>18</x:v>
      </x:c>
      <x:c r="F2" s="91" t="s">
        <x:v>18</x:v>
      </x:c>
    </x:row>
    <x:row r="3" spans="1:6" ht="96">
      <x:c r="A3" s="176">
        <x:v>600</x:v>
      </x:c>
      <x:c r="B3" s="89">
        <x:v>2</x:v>
      </x:c>
      <x:c r="C3" s="90" t="s">
        <x:v>1331</x:v>
      </x:c>
      <x:c r="D3" s="91" t="s">
        <x:v>350</x:v>
      </x:c>
      <x:c r="E3" s="91" t="s">
        <x:v>43</x:v>
      </x:c>
      <x:c r="F3" s="91" t="s">
        <x:v>43</x:v>
      </x:c>
    </x:row>
    <x:row r="4" spans="2:6" ht="60">
      <x:c r="B4" s="89">
        <x:v>3</x:v>
      </x:c>
      <x:c r="C4" s="90" t="s">
        <x:v>1331</x:v>
      </x:c>
      <x:c r="D4" s="91" t="s">
        <x:v>24</x:v>
      </x:c>
      <x:c r="E4" s="91" t="s">
        <x:v>166</x:v>
      </x:c>
      <x:c r="F4" s="91" t="s">
        <x:v>166</x:v>
      </x:c>
    </x:row>
    <x:row r="5" spans="2:6" ht="60">
      <x:c r="B5" s="89">
        <x:v>4</x:v>
      </x:c>
      <x:c r="C5" s="90" t="s">
        <x:v>1331</x:v>
      </x:c>
      <x:c r="D5" s="91" t="s">
        <x:v>1</x:v>
      </x:c>
      <x:c r="E5" s="91" t="s">
        <x:v>56</x:v>
      </x:c>
      <x:c r="F5" s="91" t="s">
        <x:v>56</x:v>
      </x:c>
    </x:row>
    <x:row r="6" spans="2:6" ht="60">
      <x:c r="B6" s="89">
        <x:v>5</x:v>
      </x:c>
      <x:c r="C6" s="90" t="s">
        <x:v>1331</x:v>
      </x:c>
      <x:c r="D6" s="91" t="s">
        <x:v>19</x:v>
      </x:c>
      <x:c r="E6" s="91" t="s">
        <x:v>49</x:v>
      </x:c>
      <x:c r="F6" s="91" t="s">
        <x:v>49</x:v>
      </x:c>
    </x:row>
    <x:row r="7" spans="2:6" ht="48">
      <x:c r="B7" s="89">
        <x:v>6</x:v>
      </x:c>
      <x:c r="C7" s="90" t="s">
        <x:v>1331</x:v>
      </x:c>
      <x:c r="D7" s="91" t="s">
        <x:v>51</x:v>
      </x:c>
      <x:c r="E7" s="91" t="s">
        <x:v>147</x:v>
      </x:c>
      <x:c r="F7" s="91" t="s">
        <x:v>147</x:v>
      </x:c>
    </x:row>
    <x:row r="8" spans="2:6">
      <x:c r="B8" s="89">
        <x:v>7</x:v>
      </x:c>
      <x:c r="C8" s="90" t="s">
        <x:v>1331</x:v>
      </x:c>
      <x:c r="D8" s="91" t="s">
        <x:v>179</x:v>
      </x:c>
      <x:c r="E8" s="91" t="s">
        <x:v>978</x:v>
      </x:c>
      <x:c r="F8" s="91" t="s">
        <x:v>978</x:v>
      </x:c>
    </x:row>
    <x:row r="9" spans="2:6" ht="48">
      <x:c r="B9" s="89">
        <x:v>8</x:v>
      </x:c>
      <x:c r="C9" s="90" t="s">
        <x:v>482</x:v>
      </x:c>
      <x:c r="D9" s="91" t="s">
        <x:v>52</x:v>
      </x:c>
      <x:c r="E9" s="91" t="s">
        <x:v>59</x:v>
      </x:c>
      <x:c r="F9" s="91" t="s">
        <x:v>59</x:v>
      </x:c>
    </x:row>
    <x:row r="10" spans="2:6" ht="48">
      <x:c r="B10" s="89">
        <x:v>9</x:v>
      </x:c>
      <x:c r="C10" s="90" t="s">
        <x:v>482</x:v>
      </x:c>
      <x:c r="D10" s="91" t="s">
        <x:v>68</x:v>
      </x:c>
      <x:c r="E10" s="91" t="s">
        <x:v>103</x:v>
      </x:c>
      <x:c r="F10" s="91" t="s">
        <x:v>103</x:v>
      </x:c>
    </x:row>
    <x:row r="11" spans="2:6" ht="60">
      <x:c r="B11" s="89">
        <x:v>10</x:v>
      </x:c>
      <x:c r="C11" s="90" t="s">
        <x:v>482</x:v>
      </x:c>
      <x:c r="D11" s="91" t="s">
        <x:v>50</x:v>
      </x:c>
      <x:c r="E11" s="91" t="s">
        <x:v>80</x:v>
      </x:c>
      <x:c r="F11" s="91" t="s">
        <x:v>80</x:v>
      </x:c>
    </x:row>
    <x:row r="12" spans="2:6" ht="48">
      <x:c r="B12" s="89">
        <x:v>11</x:v>
      </x:c>
      <x:c r="C12" s="90" t="s">
        <x:v>482</x:v>
      </x:c>
      <x:c r="D12" s="91" t="s">
        <x:v>40</x:v>
      </x:c>
      <x:c r="E12" s="91" t="s">
        <x:v>281</x:v>
      </x:c>
      <x:c r="F12" s="91" t="s">
        <x:v>281</x:v>
      </x:c>
    </x:row>
    <x:row r="13" spans="2:6" ht="72">
      <x:c r="B13" s="89">
        <x:v>12</x:v>
      </x:c>
      <x:c r="C13" s="90" t="s">
        <x:v>482</x:v>
      </x:c>
      <x:c r="D13" s="91" t="s">
        <x:v>25</x:v>
      </x:c>
      <x:c r="E13" s="91" t="s">
        <x:v>41</x:v>
      </x:c>
      <x:c r="F13" s="91" t="s">
        <x:v>41</x:v>
      </x:c>
    </x:row>
    <x:row r="14" spans="2:6">
      <x:c r="B14" s="89">
        <x:v>101</x:v>
      </x:c>
      <x:c r="D14" s="91" t="s">
        <x:v>161</x:v>
      </x:c>
      <x:c r="E14" s="91" t="s">
        <x:v>1391</x:v>
      </x:c>
      <x:c r="F14" s="91" t="s">
        <x:v>1391</x:v>
      </x:c>
    </x:row>
    <x:row r="15" spans="2:6">
      <x:c r="B15" s="89">
        <x:v>102</x:v>
      </x:c>
      <x:c r="D15" s="91" t="s">
        <x:v>37</x:v>
      </x:c>
      <x:c r="E15" s="91" t="s">
        <x:v>498</x:v>
      </x:c>
      <x:c r="F15" s="91" t="s">
        <x:v>498</x:v>
      </x:c>
    </x:row>
    <x:row r="16" spans="2:6">
      <x:c r="B16" s="89">
        <x:v>103</x:v>
      </x:c>
      <x:c r="D16" s="91" t="s">
        <x:v>35</x:v>
      </x:c>
      <x:c r="E16" s="91" t="s">
        <x:v>502</x:v>
      </x:c>
      <x:c r="F16" s="91" t="s">
        <x:v>502</x:v>
      </x:c>
    </x:row>
    <x:row r="17" spans="2:6">
      <x:c r="B17" s="89">
        <x:v>104</x:v>
      </x:c>
      <x:c r="D17" s="91" t="s">
        <x:v>691</x:v>
      </x:c>
      <x:c r="E17" s="91" t="s">
        <x:v>1290</x:v>
      </x:c>
      <x:c r="F17" s="91" t="s">
        <x:v>1290</x:v>
      </x:c>
    </x:row>
    <x:row r="18" spans="2:6">
      <x:c r="B18" s="89">
        <x:v>105</x:v>
      </x:c>
      <x:c r="D18" s="91" t="s">
        <x:v>302</x:v>
      </x:c>
      <x:c r="E18" s="91" t="s">
        <x:v>623</x:v>
      </x:c>
      <x:c r="F18" s="91" t="s">
        <x:v>623</x:v>
      </x:c>
    </x:row>
    <x:row r="19" spans="2:6" ht="24">
      <x:c r="B19" s="89">
        <x:v>106</x:v>
      </x:c>
      <x:c r="D19" s="91" t="s">
        <x:v>181</x:v>
      </x:c>
      <x:c r="E19" s="91" t="s">
        <x:v>496</x:v>
      </x:c>
      <x:c r="F19" s="91" t="s">
        <x:v>496</x:v>
      </x:c>
    </x:row>
    <x:row r="20" spans="2:6" ht="36">
      <x:c r="B20" s="89">
        <x:v>107</x:v>
      </x:c>
      <x:c r="D20" s="91" t="s">
        <x:v>116</x:v>
      </x:c>
      <x:c r="E20" s="91" t="s">
        <x:v>111</x:v>
      </x:c>
      <x:c r="F20" s="91" t="s">
        <x:v>111</x:v>
      </x:c>
    </x:row>
    <x:row r="21" spans="2:6" ht="36">
      <x:c r="B21" s="89">
        <x:v>108</x:v>
      </x:c>
      <x:c r="D21" s="91" t="s">
        <x:v>48</x:v>
      </x:c>
      <x:c r="E21" s="91" t="s">
        <x:v>149</x:v>
      </x:c>
      <x:c r="F21" s="91" t="s">
        <x:v>149</x:v>
      </x:c>
    </x:row>
    <x:row r="22" spans="2:6">
      <x:c r="B22" s="89">
        <x:v>109</x:v>
      </x:c>
      <x:c r="D22" s="91" t="s">
        <x:v>1249</x:v>
      </x:c>
      <x:c r="E22" s="91" t="s">
        <x:v>761</x:v>
      </x:c>
      <x:c r="F22" s="91" t="s">
        <x:v>761</x:v>
      </x:c>
    </x:row>
    <x:row r="23" spans="2:6">
      <x:c r="B23" s="89">
        <x:v>110</x:v>
      </x:c>
      <x:c r="D23" s="91" t="s">
        <x:v>1108</x:v>
      </x:c>
      <x:c r="E23" s="91" t="s">
        <x:v>1191</x:v>
      </x:c>
      <x:c r="F23" s="91" t="s">
        <x:v>1191</x:v>
      </x:c>
    </x:row>
    <x:row r="24" spans="2:6">
      <x:c r="B24" s="89">
        <x:v>111</x:v>
      </x:c>
      <x:c r="D24" s="91" t="s">
        <x:v>1113</x:v>
      </x:c>
      <x:c r="E24" s="91" t="s">
        <x:v>750</x:v>
      </x:c>
      <x:c r="F24" s="91" t="s">
        <x:v>750</x:v>
      </x:c>
    </x:row>
    <x:row r="25" spans="1:6">
      <x:c r="A25" s="177"/>
      <x:c r="B25" s="89">
        <x:v>112</x:v>
      </x:c>
      <x:c r="C25" s="178" t="s">
        <x:v>1142</x:v>
      </x:c>
      <x:c r="D25" s="176" t="s">
        <x:v>1277</x:v>
      </x:c>
      <x:c r="E25" s="176" t="s">
        <x:v>1460</x:v>
      </x:c>
      <x:c r="F25" s="176" t="s">
        <x:v>1460</x:v>
      </x:c>
    </x:row>
    <x:row r="26" spans="2:6">
      <x:c r="B26" s="89">
        <x:v>113</x:v>
      </x:c>
      <x:c r="D26" s="91" t="s">
        <x:v>1236</x:v>
      </x:c>
      <x:c r="E26" s="91" t="s">
        <x:v>1460</x:v>
      </x:c>
      <x:c r="F26" s="91" t="s">
        <x:v>1460</x:v>
      </x:c>
    </x:row>
    <x:row r="27" spans="2:6">
      <x:c r="B27" s="89">
        <x:v>114</x:v>
      </x:c>
      <x:c r="C27" s="90" t="s">
        <x:v>1328</x:v>
      </x:c>
      <x:c r="D27" s="91" t="s">
        <x:v>264</x:v>
      </x:c>
      <x:c r="E27" s="91" t="s">
        <x:v>664</x:v>
      </x:c>
      <x:c r="F27" s="91" t="s">
        <x:v>664</x:v>
      </x:c>
    </x:row>
    <x:row r="28" spans="2:6">
      <x:c r="B28" s="89">
        <x:v>115</x:v>
      </x:c>
      <x:c r="D28" s="91" t="s">
        <x:v>670</x:v>
      </x:c>
      <x:c r="E28" s="91" t="s">
        <x:v>432</x:v>
      </x:c>
      <x:c r="F28" s="91" t="s">
        <x:v>432</x:v>
      </x:c>
    </x:row>
    <x:row r="29" spans="2:6">
      <x:c r="B29" s="89">
        <x:v>116</x:v>
      </x:c>
      <x:c r="D29" s="91" t="s">
        <x:v>231</x:v>
      </x:c>
      <x:c r="E29" s="91" t="s">
        <x:v>968</x:v>
      </x:c>
      <x:c r="F29" s="91" t="s">
        <x:v>968</x:v>
      </x:c>
    </x:row>
    <x:row r="30" spans="2:6">
      <x:c r="B30" s="89">
        <x:v>117</x:v>
      </x:c>
      <x:c r="D30" s="91" t="s">
        <x:v>1116</x:v>
      </x:c>
      <x:c r="E30" s="91" t="s">
        <x:v>1194</x:v>
      </x:c>
      <x:c r="F30" s="91" t="s">
        <x:v>1194</x:v>
      </x:c>
    </x:row>
    <x:row r="31" spans="2:6" ht="24">
      <x:c r="B31" s="89">
        <x:v>118</x:v>
      </x:c>
      <x:c r="D31" s="91" t="s">
        <x:v>58</x:v>
      </x:c>
      <x:c r="E31" s="91" t="s">
        <x:v>246</x:v>
      </x:c>
      <x:c r="F31" s="91" t="s">
        <x:v>246</x:v>
      </x:c>
    </x:row>
    <x:row r="32" spans="2:6">
      <x:c r="B32" s="89">
        <x:v>119</x:v>
      </x:c>
      <x:c r="D32" s="91" t="s">
        <x:v>266</x:v>
      </x:c>
      <x:c r="E32" s="91" t="s">
        <x:v>661</x:v>
      </x:c>
      <x:c r="F32" s="91" t="s">
        <x:v>661</x:v>
      </x:c>
    </x:row>
    <x:row r="33" spans="2:6">
      <x:c r="B33" s="89">
        <x:v>120</x:v>
      </x:c>
      <x:c r="D33" s="91" t="s">
        <x:v>317</x:v>
      </x:c>
      <x:c r="E33" s="91" t="s">
        <x:v>657</x:v>
      </x:c>
      <x:c r="F33" s="91" t="s">
        <x:v>657</x:v>
      </x:c>
    </x:row>
    <x:row r="34" spans="2:6" ht="24">
      <x:c r="B34" s="89">
        <x:v>121</x:v>
      </x:c>
      <x:c r="D34" s="91" t="s">
        <x:v>195</x:v>
      </x:c>
      <x:c r="E34" s="91" t="s">
        <x:v>237</x:v>
      </x:c>
      <x:c r="F34" s="91" t="s">
        <x:v>237</x:v>
      </x:c>
    </x:row>
    <x:row r="35" spans="2:6">
      <x:c r="B35" s="89">
        <x:v>122</x:v>
      </x:c>
      <x:c r="D35" s="91" t="s">
        <x:v>207</x:v>
      </x:c>
      <x:c r="E35" s="91" t="s">
        <x:v>624</x:v>
      </x:c>
      <x:c r="F35" s="91" t="s">
        <x:v>624</x:v>
      </x:c>
    </x:row>
    <x:row r="36" spans="2:6">
      <x:c r="B36" s="89">
        <x:v>123</x:v>
      </x:c>
      <x:c r="D36" s="91" t="s">
        <x:v>180</x:v>
      </x:c>
      <x:c r="E36" s="91" t="s">
        <x:v>514</x:v>
      </x:c>
      <x:c r="F36" s="91" t="s">
        <x:v>514</x:v>
      </x:c>
    </x:row>
    <x:row r="37" spans="2:6">
      <x:c r="B37" s="89">
        <x:v>124</x:v>
      </x:c>
      <x:c r="D37" s="91" t="s">
        <x:v>320</x:v>
      </x:c>
      <x:c r="E37" s="91" t="s">
        <x:v>615</x:v>
      </x:c>
      <x:c r="F37" s="91" t="s">
        <x:v>615</x:v>
      </x:c>
    </x:row>
    <x:row r="38" spans="2:6" ht="24">
      <x:c r="B38" s="89">
        <x:v>125</x:v>
      </x:c>
      <x:c r="D38" s="91" t="s">
        <x:v>67</x:v>
      </x:c>
      <x:c r="E38" s="91" t="s">
        <x:v>542</x:v>
      </x:c>
      <x:c r="F38" s="91" t="s">
        <x:v>542</x:v>
      </x:c>
    </x:row>
    <x:row r="39" spans="2:6" ht="24">
      <x:c r="B39" s="89">
        <x:v>126</x:v>
      </x:c>
      <x:c r="D39" s="91" t="s">
        <x:v>66</x:v>
      </x:c>
      <x:c r="E39" s="91" t="s">
        <x:v>529</x:v>
      </x:c>
      <x:c r="F39" s="91" t="s">
        <x:v>529</x:v>
      </x:c>
    </x:row>
    <x:row r="40" spans="2:6" ht="24">
      <x:c r="B40" s="89">
        <x:v>127</x:v>
      </x:c>
      <x:c r="D40" s="91" t="s">
        <x:v>97</x:v>
      </x:c>
      <x:c r="E40" s="91" t="s">
        <x:v>1390</x:v>
      </x:c>
      <x:c r="F40" s="91" t="s">
        <x:v>1390</x:v>
      </x:c>
    </x:row>
    <x:row r="41" spans="2:6" ht="24">
      <x:c r="B41" s="89">
        <x:v>128</x:v>
      </x:c>
      <x:c r="D41" s="91" t="s">
        <x:v>102</x:v>
      </x:c>
      <x:c r="E41" s="91" t="s">
        <x:v>54</x:v>
      </x:c>
      <x:c r="F41" s="91" t="s">
        <x:v>54</x:v>
      </x:c>
    </x:row>
    <x:row r="42" spans="2:6" ht="24">
      <x:c r="B42" s="89">
        <x:v>129</x:v>
      </x:c>
      <x:c r="D42" s="91" t="s">
        <x:v>73</x:v>
      </x:c>
      <x:c r="E42" s="91" t="s">
        <x:v>270</x:v>
      </x:c>
      <x:c r="F42" s="91" t="s">
        <x:v>270</x:v>
      </x:c>
    </x:row>
    <x:row r="43" spans="2:6">
      <x:c r="B43" s="89">
        <x:v>130</x:v>
      </x:c>
      <x:c r="D43" s="91" t="s">
        <x:v>117</x:v>
      </x:c>
      <x:c r="E43" s="91" t="s">
        <x:v>619</x:v>
      </x:c>
      <x:c r="F43" s="91" t="s">
        <x:v>619</x:v>
      </x:c>
    </x:row>
    <x:row r="44" spans="2:6">
      <x:c r="B44" s="89">
        <x:v>131</x:v>
      </x:c>
      <x:c r="D44" s="91" t="s">
        <x:v>53</x:v>
      </x:c>
      <x:c r="E44" s="91" t="s">
        <x:v>612</x:v>
      </x:c>
      <x:c r="F44" s="91" t="s">
        <x:v>612</x:v>
      </x:c>
    </x:row>
    <x:row r="45" spans="2:6">
      <x:c r="B45" s="89">
        <x:v>132</x:v>
      </x:c>
      <x:c r="D45" s="91" t="s">
        <x:v>599</x:v>
      </x:c>
      <x:c r="E45" s="91" t="s">
        <x:v>1127</x:v>
      </x:c>
      <x:c r="F45" s="91" t="s">
        <x:v>1127</x:v>
      </x:c>
    </x:row>
    <x:row r="46" spans="2:6">
      <x:c r="B46" s="89">
        <x:v>133</x:v>
      </x:c>
      <x:c r="D46" s="91" t="s">
        <x:v>460</x:v>
      </x:c>
      <x:c r="E46" s="91" t="s">
        <x:v>762</x:v>
      </x:c>
      <x:c r="F46" s="91" t="s">
        <x:v>762</x:v>
      </x:c>
    </x:row>
    <x:row r="47" spans="2:6">
      <x:c r="B47" s="89">
        <x:v>134</x:v>
      </x:c>
      <x:c r="D47" s="91" t="s">
        <x:v>459</x:v>
      </x:c>
      <x:c r="E47" s="91" t="s">
        <x:v>1292</x:v>
      </x:c>
      <x:c r="F47" s="91" t="s">
        <x:v>1292</x:v>
      </x:c>
    </x:row>
    <x:row r="48" spans="2:6">
      <x:c r="B48" s="89">
        <x:v>135</x:v>
      </x:c>
      <x:c r="D48" s="176" t="s">
        <x:v>457</x:v>
      </x:c>
      <x:c r="E48" s="179">
        <x:v>43435</x:v>
      </x:c>
      <x:c r="F48" s="179">
        <x:v>43435</x:v>
      </x:c>
    </x:row>
    <x:row r="49" spans="2:6">
      <x:c r="B49" s="89">
        <x:v>136</x:v>
      </x:c>
      <x:c r="D49" s="176" t="s">
        <x:v>370</x:v>
      </x:c>
      <x:c r="E49" s="179">
        <x:v>43465</x:v>
      </x:c>
      <x:c r="F49" s="179">
        <x:v>43465</x:v>
      </x:c>
    </x:row>
    <x:row r="50" spans="2:6">
      <x:c r="B50" s="89">
        <x:v>137</x:v>
      </x:c>
      <x:c r="D50" s="91" t="s">
        <x:v>692</x:v>
      </x:c>
      <x:c r="E50" s="91" t="s">
        <x:v>692</x:v>
      </x:c>
      <x:c r="F50" s="91" t="s">
        <x:v>692</x:v>
      </x:c>
    </x:row>
    <x:row r="51" spans="2:6">
      <x:c r="B51" s="89">
        <x:v>138</x:v>
      </x:c>
      <x:c r="D51" s="91" t="s">
        <x:v>602</x:v>
      </x:c>
      <x:c r="E51" s="91" t="s">
        <x:v>1193</x:v>
      </x:c>
      <x:c r="F51" s="91" t="s">
        <x:v>1193</x:v>
      </x:c>
    </x:row>
    <x:row r="52" spans="2:6">
      <x:c r="B52" s="89">
        <x:v>139</x:v>
      </x:c>
      <x:c r="C52" s="90" t="s">
        <x:v>1280</x:v>
      </x:c>
      <x:c r="D52" s="91" t="s">
        <x:v>733</x:v>
      </x:c>
      <x:c r="E52" s="91" t="s">
        <x:v>1460</x:v>
      </x:c>
      <x:c r="F52" s="91" t="s">
        <x:v>1460</x:v>
      </x:c>
    </x:row>
    <x:row r="53" spans="2:6" ht="24">
      <x:c r="B53" s="89">
        <x:v>140</x:v>
      </x:c>
      <x:c r="D53" s="91" t="s">
        <x:v>243</x:v>
      </x:c>
      <x:c r="E53" s="91" t="s">
        <x:v>250</x:v>
      </x:c>
      <x:c r="F53" s="91" t="s">
        <x:v>250</x:v>
      </x:c>
    </x:row>
    <x:row r="54" spans="2:6" ht="24">
      <x:c r="B54" s="89">
        <x:v>141</x:v>
      </x:c>
      <x:c r="D54" s="91" t="s">
        <x:v>172</x:v>
      </x:c>
      <x:c r="E54" s="91" t="s">
        <x:v>305</x:v>
      </x:c>
      <x:c r="F54" s="91" t="s">
        <x:v>305</x:v>
      </x:c>
    </x:row>
    <x:row r="55" spans="2:6">
      <x:c r="B55" s="89">
        <x:v>142</x:v>
      </x:c>
      <x:c r="D55" s="91" t="s">
        <x:v>528</x:v>
      </x:c>
      <x:c r="E55" s="91" t="s">
        <x:v>1340</x:v>
      </x:c>
      <x:c r="F55" s="91" t="s">
        <x:v>1340</x:v>
      </x:c>
    </x:row>
    <x:row r="56" spans="2:6">
      <x:c r="B56" s="89">
        <x:v>143</x:v>
      </x:c>
      <x:c r="C56" s="90" t="s">
        <x:v>1144</x:v>
      </x:c>
      <x:c r="D56" s="88" t="s">
        <x:v>1268</x:v>
      </x:c>
      <x:c r="E56" s="180" t="s">
        <x:v>756</x:v>
      </x:c>
      <x:c r="F56" s="180" t="s">
        <x:v>756</x:v>
      </x:c>
    </x:row>
    <x:row r="57" spans="2:6">
      <x:c r="B57" s="89">
        <x:v>144</x:v>
      </x:c>
      <x:c r="D57" s="91" t="s">
        <x:v>1117</x:v>
      </x:c>
      <x:c r="E57" s="91" t="s">
        <x:v>758</x:v>
      </x:c>
      <x:c r="F57" s="91" t="s">
        <x:v>758</x:v>
      </x:c>
    </x:row>
    <x:row r="58" spans="2:6" ht="24">
      <x:c r="B58" s="89">
        <x:v>145</x:v>
      </x:c>
      <x:c r="D58" s="91" t="s">
        <x:v>169</x:v>
      </x:c>
      <x:c r="E58" s="91" t="s">
        <x:v>121</x:v>
      </x:c>
      <x:c r="F58" s="91" t="s">
        <x:v>121</x:v>
      </x:c>
    </x:row>
    <x:row r="59" spans="2:6">
      <x:c r="B59" s="89">
        <x:v>146</x:v>
      </x:c>
      <x:c r="D59" s="91" t="s">
        <x:v>1420</x:v>
      </x:c>
      <x:c r="E59" s="91" t="s">
        <x:v>613</x:v>
      </x:c>
      <x:c r="F59" s="91" t="s">
        <x:v>613</x:v>
      </x:c>
    </x:row>
    <x:row r="60" spans="2:6" ht="24">
      <x:c r="B60" s="89">
        <x:v>147</x:v>
      </x:c>
      <x:c r="D60" s="91" t="s">
        <x:v>213</x:v>
      </x:c>
      <x:c r="E60" s="91" t="s">
        <x:v>267</x:v>
      </x:c>
      <x:c r="F60" s="91" t="s">
        <x:v>267</x:v>
      </x:c>
    </x:row>
    <x:row r="61" spans="2:6">
      <x:c r="B61" s="89">
        <x:v>148</x:v>
      </x:c>
      <x:c r="D61" s="91" t="s">
        <x:v>1330</x:v>
      </x:c>
      <x:c r="E61" s="91" t="s">
        <x:v>1183</x:v>
      </x:c>
      <x:c r="F61" s="91" t="s">
        <x:v>1183</x:v>
      </x:c>
    </x:row>
    <x:row r="62" spans="2:6">
      <x:c r="B62" s="89">
        <x:v>149</x:v>
      </x:c>
      <x:c r="D62" s="91" t="s">
        <x:v>1327</x:v>
      </x:c>
      <x:c r="E62" s="91" t="s">
        <x:v>828</x:v>
      </x:c>
      <x:c r="F62" s="91" t="s">
        <x:v>828</x:v>
      </x:c>
    </x:row>
    <x:row r="63" spans="2:6">
      <x:c r="B63" s="89">
        <x:v>150</x:v>
      </x:c>
      <x:c r="D63" s="91" t="s">
        <x:v>150</x:v>
      </x:c>
      <x:c r="E63" s="91" t="s">
        <x:v>33</x:v>
      </x:c>
      <x:c r="F63" s="91" t="s">
        <x:v>33</x:v>
      </x:c>
    </x:row>
    <x:row r="64" spans="2:6">
      <x:c r="B64" s="89">
        <x:v>151</x:v>
      </x:c>
      <x:c r="C64" s="90" t="s">
        <x:v>1144</x:v>
      </x:c>
      <x:c r="D64" s="88" t="s">
        <x:v>1279</x:v>
      </x:c>
      <x:c r="E64" s="180" t="s">
        <x:v>738</x:v>
      </x:c>
      <x:c r="F64" s="180" t="s">
        <x:v>738</x:v>
      </x:c>
    </x:row>
    <x:row r="65" spans="2:6">
      <x:c r="B65" s="89">
        <x:v>152</x:v>
      </x:c>
      <x:c r="D65" s="91" t="s">
        <x:v>1121</x:v>
      </x:c>
      <x:c r="E65" s="91" t="s">
        <x:v>757</x:v>
      </x:c>
      <x:c r="F65" s="91" t="s">
        <x:v>757</x:v>
      </x:c>
    </x:row>
    <x:row r="66" spans="2:6">
      <x:c r="B66" s="89">
        <x:v>153</x:v>
      </x:c>
      <x:c r="D66" s="91" t="s">
        <x:v>170</x:v>
      </x:c>
      <x:c r="E66" s="91" t="s">
        <x:v>1397</x:v>
      </x:c>
      <x:c r="F66" s="91" t="s">
        <x:v>1397</x:v>
      </x:c>
    </x:row>
    <x:row r="67" spans="2:6">
      <x:c r="B67" s="89">
        <x:v>154</x:v>
      </x:c>
      <x:c r="D67" s="91" t="s">
        <x:v>1421</x:v>
      </x:c>
      <x:c r="E67" s="91" t="s">
        <x:v>616</x:v>
      </x:c>
      <x:c r="F67" s="91" t="s">
        <x:v>616</x:v>
      </x:c>
    </x:row>
    <x:row r="68" spans="2:6" ht="24">
      <x:c r="B68" s="89">
        <x:v>155</x:v>
      </x:c>
      <x:c r="D68" s="91" t="s">
        <x:v>177</x:v>
      </x:c>
      <x:c r="E68" s="91" t="s">
        <x:v>253</x:v>
      </x:c>
      <x:c r="F68" s="91" t="s">
        <x:v>253</x:v>
      </x:c>
    </x:row>
    <x:row r="69" spans="2:6">
      <x:c r="B69" s="89">
        <x:v>156</x:v>
      </x:c>
      <x:c r="C69" s="90" t="s">
        <x:v>1144</x:v>
      </x:c>
      <x:c r="D69" s="88" t="s">
        <x:v>621</x:v>
      </x:c>
      <x:c r="E69" s="180" t="s">
        <x:v>749</x:v>
      </x:c>
      <x:c r="F69" s="180" t="s">
        <x:v>749</x:v>
      </x:c>
    </x:row>
    <x:row r="70" spans="2:6">
      <x:c r="B70" s="89">
        <x:v>157</x:v>
      </x:c>
      <x:c r="C70" s="90" t="s">
        <x:v>1144</x:v>
      </x:c>
      <x:c r="D70" s="88" t="s">
        <x:v>1132</x:v>
      </x:c>
      <x:c r="E70" s="180" t="s">
        <x:v>752</x:v>
      </x:c>
      <x:c r="F70" s="180" t="s">
        <x:v>752</x:v>
      </x:c>
    </x:row>
    <x:row r="71" spans="2:6">
      <x:c r="B71" s="89">
        <x:v>158</x:v>
      </x:c>
      <x:c r="D71" s="91" t="s">
        <x:v>513</x:v>
      </x:c>
      <x:c r="E71" s="91" t="s">
        <x:v>1128</x:v>
      </x:c>
      <x:c r="F71" s="91" t="s">
        <x:v>1128</x:v>
      </x:c>
    </x:row>
    <x:row r="72" spans="1:6">
      <x:c r="A72" s="181"/>
      <x:c r="B72" s="89">
        <x:v>159</x:v>
      </x:c>
      <x:c r="C72" s="178" t="s">
        <x:v>1142</x:v>
      </x:c>
      <x:c r="D72" s="176" t="s">
        <x:v>617</x:v>
      </x:c>
      <x:c r="E72" s="176" t="s">
        <x:v>1263</x:v>
      </x:c>
      <x:c r="F72" s="176" t="s">
        <x:v>1263</x:v>
      </x:c>
    </x:row>
    <x:row r="73" spans="2:6">
      <x:c r="B73" s="89">
        <x:v>160</x:v>
      </x:c>
      <x:c r="D73" s="91" t="s">
        <x:v>597</x:v>
      </x:c>
      <x:c r="E73" s="176" t="s">
        <x:v>739</x:v>
      </x:c>
      <x:c r="F73" s="176" t="s">
        <x:v>739</x:v>
      </x:c>
    </x:row>
    <x:row r="74" spans="2:6">
      <x:c r="B74" s="89">
        <x:v>161</x:v>
      </x:c>
      <x:c r="D74" s="91" t="s">
        <x:v>976</x:v>
      </x:c>
      <x:c r="E74" s="176" t="s">
        <x:v>497</x:v>
      </x:c>
      <x:c r="F74" s="176" t="s">
        <x:v>497</x:v>
      </x:c>
    </x:row>
    <x:row r="75" spans="2:6">
      <x:c r="B75" s="89">
        <x:v>162</x:v>
      </x:c>
      <x:c r="D75" s="91" t="s">
        <x:v>1394</x:v>
      </x:c>
      <x:c r="E75" s="91" t="s">
        <x:v>1032</x:v>
      </x:c>
      <x:c r="F75" s="91" t="s">
        <x:v>1032</x:v>
      </x:c>
    </x:row>
    <x:row r="76" spans="2:6">
      <x:c r="B76" s="89">
        <x:v>163</x:v>
      </x:c>
      <x:c r="D76" s="91" t="s">
        <x:v>540</x:v>
      </x:c>
      <x:c r="E76" s="91" t="s">
        <x:v>398</x:v>
      </x:c>
      <x:c r="F76" s="91" t="s">
        <x:v>398</x:v>
      </x:c>
    </x:row>
    <x:row r="77" spans="2:6">
      <x:c r="B77" s="89">
        <x:v>164</x:v>
      </x:c>
      <x:c r="D77" s="91" t="s">
        <x:v>539</x:v>
      </x:c>
      <x:c r="E77" s="91" t="s">
        <x:v>1339</x:v>
      </x:c>
      <x:c r="F77" s="91" t="s">
        <x:v>1339</x:v>
      </x:c>
    </x:row>
    <x:row r="78" spans="1:6">
      <x:c r="A78" s="181"/>
      <x:c r="B78" s="89">
        <x:v>165</x:v>
      </x:c>
      <x:c r="C78" s="178" t="s">
        <x:v>1142</x:v>
      </x:c>
      <x:c r="D78" s="176" t="s">
        <x:v>1283</x:v>
      </x:c>
      <x:c r="E78" s="176" t="s">
        <x:v>763</x:v>
      </x:c>
      <x:c r="F78" s="176" t="s">
        <x:v>763</x:v>
      </x:c>
    </x:row>
    <x:row r="79" spans="1:6">
      <x:c r="A79" s="181"/>
      <x:c r="B79" s="89">
        <x:v>166</x:v>
      </x:c>
      <x:c r="C79" s="178" t="s">
        <x:v>1142</x:v>
      </x:c>
      <x:c r="D79" s="176" t="s">
        <x:v>1291</x:v>
      </x:c>
      <x:c r="E79" s="176" t="s">
        <x:v>743</x:v>
      </x:c>
      <x:c r="F79" s="176" t="s">
        <x:v>743</x:v>
      </x:c>
    </x:row>
    <x:row r="80" spans="1:6">
      <x:c r="A80" s="181"/>
      <x:c r="B80" s="89">
        <x:v>167</x:v>
      </x:c>
      <x:c r="C80" s="178" t="s">
        <x:v>1142</x:v>
      </x:c>
      <x:c r="D80" s="176" t="s">
        <x:v>610</x:v>
      </x:c>
      <x:c r="E80" s="176" t="s">
        <x:v>759</x:v>
      </x:c>
      <x:c r="F80" s="176" t="s">
        <x:v>759</x:v>
      </x:c>
    </x:row>
    <x:row r="81" spans="1:6">
      <x:c r="A81" s="181"/>
      <x:c r="B81" s="89">
        <x:v>168</x:v>
      </x:c>
      <x:c r="C81" s="178" t="s">
        <x:v>1142</x:v>
      </x:c>
      <x:c r="D81" s="176" t="s">
        <x:v>1155</x:v>
      </x:c>
      <x:c r="E81" s="176" t="s">
        <x:v>1196</x:v>
      </x:c>
      <x:c r="F81" s="176" t="s">
        <x:v>1196</x:v>
      </x:c>
    </x:row>
    <x:row r="82" spans="2:6">
      <x:c r="B82" s="89">
        <x:v>169</x:v>
      </x:c>
      <x:c r="D82" s="91" t="s">
        <x:v>1253</x:v>
      </x:c>
      <x:c r="E82" s="91" t="s">
        <x:v>753</x:v>
      </x:c>
      <x:c r="F82" s="91" t="s">
        <x:v>753</x:v>
      </x:c>
    </x:row>
    <x:row r="83" spans="2:6">
      <x:c r="B83" s="89">
        <x:v>170</x:v>
      </x:c>
      <x:c r="D83" s="91" t="s">
        <x:v>1251</x:v>
      </x:c>
      <x:c r="E83" s="91" t="s">
        <x:v>764</x:v>
      </x:c>
      <x:c r="F83" s="91" t="s">
        <x:v>764</x:v>
      </x:c>
    </x:row>
    <x:row r="84" spans="2:6">
      <x:c r="B84" s="89">
        <x:v>171</x:v>
      </x:c>
      <x:c r="D84" s="91" t="s">
        <x:v>614</x:v>
      </x:c>
      <x:c r="E84" s="91" t="s">
        <x:v>1293</x:v>
      </x:c>
      <x:c r="F84" s="91" t="s">
        <x:v>1293</x:v>
      </x:c>
    </x:row>
    <x:row r="85" spans="2:6">
      <x:c r="B85" s="89">
        <x:v>172</x:v>
      </x:c>
      <x:c r="D85" s="91" t="s">
        <x:v>586</x:v>
      </x:c>
      <x:c r="E85" s="91" t="s">
        <x:v>739</x:v>
      </x:c>
      <x:c r="F85" s="91" t="s">
        <x:v>739</x:v>
      </x:c>
    </x:row>
    <x:row r="86" spans="2:6">
      <x:c r="B86" s="89">
        <x:v>173</x:v>
      </x:c>
      <x:c r="D86" s="91" t="s">
        <x:v>1119</x:v>
      </x:c>
      <x:c r="E86" s="91" t="s">
        <x:v>1197</x:v>
      </x:c>
      <x:c r="F86" s="91" t="s">
        <x:v>1197</x:v>
      </x:c>
    </x:row>
    <x:row r="87" spans="2:6">
      <x:c r="B87" s="89">
        <x:v>174</x:v>
      </x:c>
      <x:c r="D87" s="91" t="s">
        <x:v>555</x:v>
      </x:c>
      <x:c r="E87" s="91" t="s">
        <x:v>414</x:v>
      </x:c>
      <x:c r="F87" s="91" t="s">
        <x:v>414</x:v>
      </x:c>
    </x:row>
    <x:row r="88" spans="2:6">
      <x:c r="B88" s="89">
        <x:v>175</x:v>
      </x:c>
      <x:c r="D88" s="91" t="s">
        <x:v>208</x:v>
      </x:c>
      <x:c r="E88" s="91" t="s">
        <x:v>987</x:v>
      </x:c>
      <x:c r="F88" s="91" t="s">
        <x:v>987</x:v>
      </x:c>
    </x:row>
    <x:row r="89" spans="2:6" ht="24">
      <x:c r="B89" s="89">
        <x:v>176</x:v>
      </x:c>
      <x:c r="D89" s="91" t="s">
        <x:v>95</x:v>
      </x:c>
      <x:c r="E89" s="91" t="s">
        <x:v>308</x:v>
      </x:c>
      <x:c r="F89" s="91" t="s">
        <x:v>308</x:v>
      </x:c>
    </x:row>
    <x:row r="90" spans="2:6">
      <x:c r="B90" s="89">
        <x:v>177</x:v>
      </x:c>
      <x:c r="D90" s="91" t="s">
        <x:v>693</x:v>
      </x:c>
      <x:c r="E90" s="91" t="s">
        <x:v>740</x:v>
      </x:c>
      <x:c r="F90" s="91" t="s">
        <x:v>740</x:v>
      </x:c>
    </x:row>
    <x:row r="91" spans="2:6">
      <x:c r="B91" s="89">
        <x:v>178</x:v>
      </x:c>
      <x:c r="D91" s="91" t="s">
        <x:v>1231</x:v>
      </x:c>
      <x:c r="E91" s="91" t="s">
        <x:v>765</x:v>
      </x:c>
      <x:c r="F91" s="91" t="s">
        <x:v>765</x:v>
      </x:c>
    </x:row>
    <x:row r="92" spans="2:6">
      <x:c r="B92" s="89">
        <x:v>179</x:v>
      </x:c>
      <x:c r="D92" s="91" t="s">
        <x:v>563</x:v>
      </x:c>
      <x:c r="E92" s="91" t="s">
        <x:v>1294</x:v>
      </x:c>
      <x:c r="F92" s="91" t="s">
        <x:v>1294</x:v>
      </x:c>
    </x:row>
    <x:row r="93" spans="2:6">
      <x:c r="B93" s="89">
        <x:v>180</x:v>
      </x:c>
      <x:c r="D93" s="91" t="s">
        <x:v>618</x:v>
      </x:c>
      <x:c r="E93" s="91" t="s">
        <x:v>1264</x:v>
      </x:c>
      <x:c r="F93" s="91" t="s">
        <x:v>1264</x:v>
      </x:c>
    </x:row>
    <x:row r="94" spans="2:6">
      <x:c r="B94" s="89">
        <x:v>181</x:v>
      </x:c>
      <x:c r="C94" s="90" t="s">
        <x:v>1328</x:v>
      </x:c>
      <x:c r="D94" s="91" t="s">
        <x:v>27</x:v>
      </x:c>
      <x:c r="E94" s="91" t="s">
        <x:v>545</x:v>
      </x:c>
      <x:c r="F94" s="91" t="s">
        <x:v>545</x:v>
      </x:c>
    </x:row>
    <x:row r="95" spans="2:6" ht="36">
      <x:c r="B95" s="89">
        <x:v>182</x:v>
      </x:c>
      <x:c r="C95" s="90" t="s">
        <x:v>1328</x:v>
      </x:c>
      <x:c r="D95" s="91" t="s">
        <x:v>205</x:v>
      </x:c>
      <x:c r="E95" s="91" t="s">
        <x:v>47</x:v>
      </x:c>
      <x:c r="F95" s="91" t="s">
        <x:v>47</x:v>
      </x:c>
    </x:row>
    <x:row r="96" spans="2:6">
      <x:c r="B96" s="89">
        <x:v>183</x:v>
      </x:c>
      <x:c r="D96" s="91" t="s">
        <x:v>158</x:v>
      </x:c>
      <x:c r="E96" s="91" t="s">
        <x:v>1133</x:v>
      </x:c>
      <x:c r="F96" s="91" t="s">
        <x:v>1133</x:v>
      </x:c>
    </x:row>
    <x:row r="97" spans="2:6">
      <x:c r="B97" s="89">
        <x:v>184</x:v>
      </x:c>
      <x:c r="D97" s="91" t="s">
        <x:v>1072</x:v>
      </x:c>
      <x:c r="E97" s="91" t="s">
        <x:v>841</x:v>
      </x:c>
      <x:c r="F97" s="91" t="s">
        <x:v>841</x:v>
      </x:c>
    </x:row>
    <x:row r="98" spans="2:6">
      <x:c r="B98" s="89">
        <x:v>185</x:v>
      </x:c>
      <x:c r="D98" s="91" t="s">
        <x:v>333</x:v>
      </x:c>
      <x:c r="E98" s="91" t="s">
        <x:v>1266</x:v>
      </x:c>
      <x:c r="F98" s="91" t="s">
        <x:v>1266</x:v>
      </x:c>
    </x:row>
    <x:row r="99" spans="2:6" ht="24">
      <x:c r="B99" s="89">
        <x:v>186</x:v>
      </x:c>
      <x:c r="D99" s="91" t="s">
        <x:v>241</x:v>
      </x:c>
      <x:c r="E99" s="91" t="s">
        <x:v>311</x:v>
      </x:c>
      <x:c r="F99" s="91" t="s">
        <x:v>311</x:v>
      </x:c>
    </x:row>
    <x:row r="100" spans="2:6" ht="24">
      <x:c r="B100" s="89">
        <x:v>187</x:v>
      </x:c>
      <x:c r="D100" s="91" t="s">
        <x:v>96</x:v>
      </x:c>
      <x:c r="E100" s="91" t="s">
        <x:v>139</x:v>
      </x:c>
      <x:c r="F100" s="91" t="s">
        <x:v>139</x:v>
      </x:c>
    </x:row>
    <x:row r="101" spans="2:6" ht="24">
      <x:c r="B101" s="89">
        <x:v>188</x:v>
      </x:c>
      <x:c r="D101" s="91" t="s">
        <x:v>232</x:v>
      </x:c>
      <x:c r="E101" s="91" t="s">
        <x:v>972</x:v>
      </x:c>
      <x:c r="F101" s="91" t="s">
        <x:v>972</x:v>
      </x:c>
    </x:row>
    <x:row r="102" spans="2:6">
      <x:c r="B102" s="89">
        <x:v>189</x:v>
      </x:c>
      <x:c r="D102" s="91" t="s">
        <x:v>331</x:v>
      </x:c>
      <x:c r="E102" s="91" t="s">
        <x:v>1463</x:v>
      </x:c>
      <x:c r="F102" s="91" t="s">
        <x:v>1463</x:v>
      </x:c>
    </x:row>
    <x:row r="103" spans="2:6">
      <x:c r="B103" s="89">
        <x:v>190</x:v>
      </x:c>
      <x:c r="C103" s="90" t="s">
        <x:v>1328</x:v>
      </x:c>
      <x:c r="D103" s="91" t="s">
        <x:v>1356</x:v>
      </x:c>
      <x:c r="E103" s="91" t="s">
        <x:v>849</x:v>
      </x:c>
      <x:c r="F103" s="91" t="s">
        <x:v>849</x:v>
      </x:c>
    </x:row>
    <x:row r="104" spans="2:6">
      <x:c r="B104" s="89">
        <x:v>191</x:v>
      </x:c>
      <x:c r="D104" s="91" t="s">
        <x:v>431</x:v>
      </x:c>
      <x:c r="E104" s="91" t="s">
        <x:v>1513</x:v>
      </x:c>
      <x:c r="F104" s="91" t="s">
        <x:v>1513</x:v>
      </x:c>
    </x:row>
    <x:row r="105" spans="2:6">
      <x:c r="B105" s="89">
        <x:v>192</x:v>
      </x:c>
      <x:c r="D105" s="91" t="s">
        <x:v>388</x:v>
      </x:c>
      <x:c r="E105" s="91" t="s">
        <x:v>1453</x:v>
      </x:c>
      <x:c r="F105" s="91" t="s">
        <x:v>1453</x:v>
      </x:c>
    </x:row>
    <x:row r="106" spans="2:6">
      <x:c r="B106" s="89">
        <x:v>193</x:v>
      </x:c>
      <x:c r="D106" s="91" t="s">
        <x:v>977</x:v>
      </x:c>
      <x:c r="E106" s="91" t="s">
        <x:v>1178</x:v>
      </x:c>
      <x:c r="F106" s="91" t="s">
        <x:v>1178</x:v>
      </x:c>
    </x:row>
    <x:row r="107" spans="2:6">
      <x:c r="B107" s="89">
        <x:v>194</x:v>
      </x:c>
      <x:c r="D107" s="91" t="s">
        <x:v>590</x:v>
      </x:c>
      <x:c r="E107" s="91" t="s">
        <x:v>735</x:v>
      </x:c>
      <x:c r="F107" s="91" t="s">
        <x:v>735</x:v>
      </x:c>
    </x:row>
    <x:row r="108" spans="2:6">
      <x:c r="B108" s="89">
        <x:v>195</x:v>
      </x:c>
      <x:c r="D108" s="91" t="s">
        <x:v>1105</x:v>
      </x:c>
      <x:c r="E108" s="91" t="s">
        <x:v>1195</x:v>
      </x:c>
      <x:c r="F108" s="91" t="s">
        <x:v>1195</x:v>
      </x:c>
    </x:row>
    <x:row r="109" spans="2:6">
      <x:c r="B109" s="89">
        <x:v>196</x:v>
      </x:c>
      <x:c r="D109" s="91" t="s">
        <x:v>1388</x:v>
      </x:c>
      <x:c r="E109" s="91" t="s">
        <x:v>627</x:v>
      </x:c>
      <x:c r="F109" s="91" t="s">
        <x:v>627</x:v>
      </x:c>
    </x:row>
    <x:row r="110" spans="2:6" ht="24">
      <x:c r="B110" s="89">
        <x:v>197</x:v>
      </x:c>
      <x:c r="D110" s="91" t="s">
        <x:v>1558</x:v>
      </x:c>
      <x:c r="E110" s="91" t="s">
        <x:v>273</x:v>
      </x:c>
      <x:c r="F110" s="91" t="s">
        <x:v>273</x:v>
      </x:c>
    </x:row>
    <x:row r="111" spans="2:6" ht="24">
      <x:c r="B111" s="89">
        <x:v>198</x:v>
      </x:c>
      <x:c r="D111" s="91" t="s">
        <x:v>1559</x:v>
      </x:c>
      <x:c r="E111" s="91" t="s">
        <x:v>254</x:v>
      </x:c>
      <x:c r="F111" s="91" t="s">
        <x:v>254</x:v>
      </x:c>
    </x:row>
    <x:row r="112" spans="2:6">
      <x:c r="B112" s="89">
        <x:v>199</x:v>
      </x:c>
      <x:c r="D112" s="91" t="s">
        <x:v>1364</x:v>
      </x:c>
      <x:c r="E112" s="91" t="s">
        <x:v>830</x:v>
      </x:c>
      <x:c r="F112" s="91" t="s">
        <x:v>830</x:v>
      </x:c>
    </x:row>
    <x:row r="113" spans="2:6">
      <x:c r="B113" s="89">
        <x:v>200</x:v>
      </x:c>
      <x:c r="D113" s="91" t="s">
        <x:v>690</x:v>
      </x:c>
      <x:c r="E113" s="91" t="s">
        <x:v>1431</x:v>
      </x:c>
      <x:c r="F113" s="91" t="s">
        <x:v>1431</x:v>
      </x:c>
    </x:row>
    <x:row r="114" spans="2:6">
      <x:c r="B114" s="89">
        <x:v>201</x:v>
      </x:c>
      <x:c r="D114" s="91" t="s">
        <x:v>1351</x:v>
      </x:c>
      <x:c r="E114" s="91" t="s">
        <x:v>1501</x:v>
      </x:c>
      <x:c r="F114" s="91" t="s">
        <x:v>1501</x:v>
      </x:c>
    </x:row>
    <x:row r="115" spans="2:6">
      <x:c r="B115" s="89">
        <x:v>202</x:v>
      </x:c>
      <x:c r="D115" s="91" t="s">
        <x:v>1136</x:v>
      </x:c>
      <x:c r="E115" s="91" t="s">
        <x:v>1439</x:v>
      </x:c>
      <x:c r="F115" s="91" t="s">
        <x:v>1439</x:v>
      </x:c>
    </x:row>
    <x:row r="116" spans="2:6">
      <x:c r="B116" s="89">
        <x:v>203</x:v>
      </x:c>
      <x:c r="D116" s="91" t="s">
        <x:v>371</x:v>
      </x:c>
      <x:c r="E116" s="91" t="s">
        <x:v>1456</x:v>
      </x:c>
      <x:c r="F116" s="91" t="s">
        <x:v>1456</x:v>
      </x:c>
    </x:row>
    <x:row r="117" spans="2:6">
      <x:c r="B117" s="89">
        <x:v>204</x:v>
      </x:c>
      <x:c r="D117" s="91" t="s">
        <x:v>373</x:v>
      </x:c>
      <x:c r="E117" s="91" t="s">
        <x:v>1447</x:v>
      </x:c>
      <x:c r="F117" s="91" t="s">
        <x:v>1447</x:v>
      </x:c>
    </x:row>
    <x:row r="118" spans="2:6">
      <x:c r="B118" s="89">
        <x:v>205</x:v>
      </x:c>
      <x:c r="D118" s="91" t="s">
        <x:v>488</x:v>
      </x:c>
      <x:c r="E118" s="91" t="s">
        <x:v>433</x:v>
      </x:c>
      <x:c r="F118" s="91" t="s">
        <x:v>433</x:v>
      </x:c>
    </x:row>
    <x:row r="119" spans="2:6">
      <x:c r="B119" s="89">
        <x:v>206</x:v>
      </x:c>
      <x:c r="D119" s="91" t="s">
        <x:v>429</x:v>
      </x:c>
      <x:c r="E119" s="91" t="s">
        <x:v>843</x:v>
      </x:c>
      <x:c r="F119" s="91" t="s">
        <x:v>843</x:v>
      </x:c>
    </x:row>
    <x:row r="120" spans="2:6">
      <x:c r="B120" s="89">
        <x:v>207</x:v>
      </x:c>
      <x:c r="D120" s="91" t="s">
        <x:v>118</x:v>
      </x:c>
      <x:c r="E120" s="91" t="s">
        <x:v>1267</x:v>
      </x:c>
      <x:c r="F120" s="91" t="s">
        <x:v>1267</x:v>
      </x:c>
    </x:row>
    <x:row r="121" spans="2:6" ht="24">
      <x:c r="B121" s="89">
        <x:v>208</x:v>
      </x:c>
      <x:c r="D121" s="91" t="s">
        <x:v>77</x:v>
      </x:c>
      <x:c r="E121" s="91" t="s">
        <x:v>1406</x:v>
      </x:c>
      <x:c r="F121" s="91" t="s">
        <x:v>1406</x:v>
      </x:c>
    </x:row>
    <x:row r="122" spans="2:6" ht="24">
      <x:c r="B122" s="89">
        <x:v>209</x:v>
      </x:c>
      <x:c r="D122" s="91" t="s">
        <x:v>1171</x:v>
      </x:c>
      <x:c r="E122" s="91" t="s">
        <x:v>1407</x:v>
      </x:c>
      <x:c r="F122" s="91" t="s">
        <x:v>1407</x:v>
      </x:c>
    </x:row>
    <x:row r="123" spans="2:6">
      <x:c r="B123" s="89">
        <x:v>210</x:v>
      </x:c>
      <x:c r="D123" s="91" t="s">
        <x:v>1157</x:v>
      </x:c>
      <x:c r="E123" s="91" t="s">
        <x:v>817</x:v>
      </x:c>
      <x:c r="F123" s="91" t="s">
        <x:v>817</x:v>
      </x:c>
    </x:row>
    <x:row r="124" spans="2:6">
      <x:c r="B124" s="89">
        <x:v>211</x:v>
      </x:c>
      <x:c r="D124" s="91" t="s">
        <x:v>332</x:v>
      </x:c>
      <x:c r="E124" s="91" t="s">
        <x:v>332</x:v>
      </x:c>
      <x:c r="F124" s="91" t="s">
        <x:v>332</x:v>
      </x:c>
    </x:row>
    <x:row r="125" spans="2:6">
      <x:c r="B125" s="89">
        <x:v>212</x:v>
      </x:c>
      <x:c r="D125" s="91" t="s">
        <x:v>695</x:v>
      </x:c>
      <x:c r="E125" s="91" t="s">
        <x:v>1448</x:v>
      </x:c>
      <x:c r="F125" s="91" t="s">
        <x:v>1448</x:v>
      </x:c>
    </x:row>
    <x:row r="126" spans="2:6">
      <x:c r="B126" s="89">
        <x:v>213</x:v>
      </x:c>
      <x:c r="D126" s="91" t="s">
        <x:v>694</x:v>
      </x:c>
      <x:c r="E126" s="91" t="s">
        <x:v>1451</x:v>
      </x:c>
      <x:c r="F126" s="91" t="s">
        <x:v>1451</x:v>
      </x:c>
    </x:row>
    <x:row r="127" spans="2:6">
      <x:c r="B127" s="89">
        <x:v>214</x:v>
      </x:c>
      <x:c r="D127" s="91" t="s">
        <x:v>1103</x:v>
      </x:c>
      <x:c r="E127" s="91" t="s">
        <x:v>1190</x:v>
      </x:c>
      <x:c r="F127" s="91" t="s">
        <x:v>1190</x:v>
      </x:c>
    </x:row>
    <x:row r="128" spans="2:6">
      <x:c r="B128" s="89">
        <x:v>215</x:v>
      </x:c>
      <x:c r="D128" s="91" t="s">
        <x:v>1386</x:v>
      </x:c>
      <x:c r="E128" s="91" t="s">
        <x:v>1134</x:v>
      </x:c>
      <x:c r="F128" s="91" t="s">
        <x:v>1134</x:v>
      </x:c>
    </x:row>
    <x:row r="129" spans="2:6">
      <x:c r="B129" s="89">
        <x:v>216</x:v>
      </x:c>
      <x:c r="D129" s="91" t="s">
        <x:v>268</x:v>
      </x:c>
      <x:c r="E129" s="91" t="s">
        <x:v>1137</x:v>
      </x:c>
      <x:c r="F129" s="91" t="s">
        <x:v>1137</x:v>
      </x:c>
    </x:row>
    <x:row r="130" spans="2:6">
      <x:c r="B130" s="89">
        <x:v>217</x:v>
      </x:c>
      <x:c r="D130" s="91" t="s">
        <x:v>1385</x:v>
      </x:c>
      <x:c r="E130" s="91" t="s">
        <x:v>1307</x:v>
      </x:c>
      <x:c r="F130" s="91" t="s">
        <x:v>1307</x:v>
      </x:c>
    </x:row>
    <x:row r="131" spans="2:6">
      <x:c r="B131" s="89">
        <x:v>218</x:v>
      </x:c>
      <x:c r="D131" s="91" t="s">
        <x:v>982</x:v>
      </x:c>
      <x:c r="E131" s="91" t="s">
        <x:v>1162</x:v>
      </x:c>
      <x:c r="F131" s="91" t="s">
        <x:v>1162</x:v>
      </x:c>
    </x:row>
    <x:row r="132" spans="2:6">
      <x:c r="B132" s="89">
        <x:v>219</x:v>
      </x:c>
      <x:c r="D132" s="91" t="s">
        <x:v>980</x:v>
      </x:c>
      <x:c r="E132" s="91" t="s">
        <x:v>522</x:v>
      </x:c>
      <x:c r="F132" s="91" t="s">
        <x:v>522</x:v>
      </x:c>
    </x:row>
    <x:row r="133" spans="2:6">
      <x:c r="B133" s="89">
        <x:v>220</x:v>
      </x:c>
      <x:c r="D133" s="91" t="s">
        <x:v>1120</x:v>
      </x:c>
      <x:c r="E133" s="91" t="s">
        <x:v>1200</x:v>
      </x:c>
      <x:c r="F133" s="91" t="s">
        <x:v>1200</x:v>
      </x:c>
    </x:row>
    <x:row r="134" spans="2:6">
      <x:c r="B134" s="89">
        <x:v>221</x:v>
      </x:c>
      <x:c r="D134" s="91" t="s">
        <x:v>520</x:v>
      </x:c>
      <x:c r="E134" s="91" t="s">
        <x:v>1325</x:v>
      </x:c>
      <x:c r="F134" s="91" t="s">
        <x:v>1325</x:v>
      </x:c>
    </x:row>
    <x:row r="135" spans="2:6">
      <x:c r="B135" s="89">
        <x:v>222</x:v>
      </x:c>
      <x:c r="D135" s="91" t="s">
        <x:v>1261</x:v>
      </x:c>
      <x:c r="E135" s="91" t="s">
        <x:v>1163</x:v>
      </x:c>
      <x:c r="F135" s="91" t="s">
        <x:v>1163</x:v>
      </x:c>
    </x:row>
    <x:row r="136" spans="2:6">
      <x:c r="B136" s="89">
        <x:v>223</x:v>
      </x:c>
      <x:c r="D136" s="91" t="s">
        <x:v>1422</x:v>
      </x:c>
      <x:c r="E136" s="91" t="s">
        <x:v>1309</x:v>
      </x:c>
      <x:c r="F136" s="91" t="s">
        <x:v>1309</x:v>
      </x:c>
    </x:row>
    <x:row r="137" spans="2:6">
      <x:c r="B137" s="89">
        <x:v>224</x:v>
      </x:c>
      <x:c r="C137" s="90" t="s">
        <x:v>1144</x:v>
      </x:c>
      <x:c r="D137" s="91" t="s">
        <x:v>140</x:v>
      </x:c>
      <x:c r="E137" s="91" t="s">
        <x:v>656</x:v>
      </x:c>
      <x:c r="F137" s="91" t="s">
        <x:v>656</x:v>
      </x:c>
    </x:row>
    <x:row r="138" spans="2:6">
      <x:c r="B138" s="89">
        <x:v>225</x:v>
      </x:c>
      <x:c r="D138" s="91" t="s">
        <x:v>698</x:v>
      </x:c>
      <x:c r="E138" s="91" t="s">
        <x:v>1452</x:v>
      </x:c>
      <x:c r="F138" s="91" t="s">
        <x:v>1452</x:v>
      </x:c>
    </x:row>
    <x:row r="139" spans="2:6">
      <x:c r="B139" s="89">
        <x:v>226</x:v>
      </x:c>
      <x:c r="D139" s="91" t="s">
        <x:v>430</x:v>
      </x:c>
      <x:c r="E139" s="91" t="s">
        <x:v>856</x:v>
      </x:c>
      <x:c r="F139" s="91" t="s">
        <x:v>856</x:v>
      </x:c>
    </x:row>
    <x:row r="140" spans="2:6">
      <x:c r="B140" s="89">
        <x:v>227</x:v>
      </x:c>
      <x:c r="D140" s="91" t="s">
        <x:v>1152</x:v>
      </x:c>
      <x:c r="E140" s="91" t="s">
        <x:v>1442</x:v>
      </x:c>
      <x:c r="F140" s="91" t="s">
        <x:v>1442</x:v>
      </x:c>
    </x:row>
    <x:row r="141" spans="2:6">
      <x:c r="B141" s="89">
        <x:v>228</x:v>
      </x:c>
      <x:c r="D141" s="91" t="s">
        <x:v>375</x:v>
      </x:c>
      <x:c r="E141" s="91" t="s">
        <x:v>1457</x:v>
      </x:c>
      <x:c r="F141" s="91" t="s">
        <x:v>1457</x:v>
      </x:c>
    </x:row>
    <x:row r="142" spans="2:6">
      <x:c r="B142" s="89">
        <x:v>229</x:v>
      </x:c>
      <x:c r="D142" s="91" t="s">
        <x:v>479</x:v>
      </x:c>
      <x:c r="E142" s="91" t="s">
        <x:v>1033</x:v>
      </x:c>
      <x:c r="F142" s="91" t="s">
        <x:v>1033</x:v>
      </x:c>
    </x:row>
    <x:row r="143" spans="2:6">
      <x:c r="B143" s="89">
        <x:v>230</x:v>
      </x:c>
      <x:c r="D143" s="91" t="s">
        <x:v>478</x:v>
      </x:c>
      <x:c r="E143" s="91" t="s">
        <x:v>1029</x:v>
      </x:c>
      <x:c r="F143" s="91" t="s">
        <x:v>1029</x:v>
      </x:c>
    </x:row>
    <x:row r="144" spans="2:6">
      <x:c r="B144" s="89">
        <x:v>231</x:v>
      </x:c>
      <x:c r="D144" s="91" t="s">
        <x:v>1276</x:v>
      </x:c>
      <x:c r="E144" s="91" t="s">
        <x:v>1201</x:v>
      </x:c>
      <x:c r="F144" s="91" t="s">
        <x:v>1201</x:v>
      </x:c>
    </x:row>
    <x:row r="145" spans="2:6">
      <x:c r="B145" s="89">
        <x:v>232</x:v>
      </x:c>
      <x:c r="D145" s="91" t="s">
        <x:v>861</x:v>
      </x:c>
      <x:c r="E145" s="91" t="s">
        <x:v>855</x:v>
      </x:c>
      <x:c r="F145" s="91" t="s">
        <x:v>855</x:v>
      </x:c>
    </x:row>
    <x:row r="146" spans="2:6">
      <x:c r="B146" s="89">
        <x:v>233</x:v>
      </x:c>
      <x:c r="D146" s="91" t="s">
        <x:v>716</x:v>
      </x:c>
      <x:c r="E146" s="91" t="s">
        <x:v>1449</x:v>
      </x:c>
      <x:c r="F146" s="91" t="s">
        <x:v>1449</x:v>
      </x:c>
    </x:row>
    <x:row r="147" spans="2:6">
      <x:c r="B147" s="89">
        <x:v>234</x:v>
      </x:c>
      <x:c r="D147" s="91" t="s">
        <x:v>374</x:v>
      </x:c>
      <x:c r="E147" s="91" t="s">
        <x:v>734</x:v>
      </x:c>
      <x:c r="F147" s="91" t="s">
        <x:v>734</x:v>
      </x:c>
    </x:row>
    <x:row r="148" spans="2:6">
      <x:c r="B148" s="89">
        <x:v>235</x:v>
      </x:c>
      <x:c r="D148" s="91" t="s">
        <x:v>119</x:v>
      </x:c>
      <x:c r="E148" s="91" t="s">
        <x:v>1271</x:v>
      </x:c>
      <x:c r="F148" s="91" t="s">
        <x:v>1271</x:v>
      </x:c>
    </x:row>
    <x:row r="149" spans="2:6">
      <x:c r="B149" s="89">
        <x:v>236</x:v>
      </x:c>
      <x:c r="D149" s="91" t="s">
        <x:v>966</x:v>
      </x:c>
      <x:c r="E149" s="91" t="s">
        <x:v>1203</x:v>
      </x:c>
      <x:c r="F149" s="91" t="s">
        <x:v>1203</x:v>
      </x:c>
    </x:row>
    <x:row r="150" spans="2:6">
      <x:c r="B150" s="89">
        <x:v>237</x:v>
      </x:c>
      <x:c r="D150" s="91" t="s">
        <x:v>846</x:v>
      </x:c>
      <x:c r="E150" s="91" t="s">
        <x:v>1505</x:v>
      </x:c>
      <x:c r="F150" s="91" t="s">
        <x:v>1505</x:v>
      </x:c>
    </x:row>
    <x:row r="151" spans="2:6">
      <x:c r="B151" s="89">
        <x:v>238</x:v>
      </x:c>
      <x:c r="D151" s="91" t="s">
        <x:v>1262</x:v>
      </x:c>
      <x:c r="E151" s="91" t="s">
        <x:v>1461</x:v>
      </x:c>
      <x:c r="F151" s="91" t="s">
        <x:v>1461</x:v>
      </x:c>
    </x:row>
    <x:row r="152" spans="2:6">
      <x:c r="B152" s="89">
        <x:v>239</x:v>
      </x:c>
      <x:c r="D152" s="91" t="s">
        <x:v>1095</x:v>
      </x:c>
      <x:c r="E152" s="91" t="s">
        <x:v>1202</x:v>
      </x:c>
      <x:c r="F152" s="91" t="s">
        <x:v>1202</x:v>
      </x:c>
    </x:row>
    <x:row r="153" spans="2:6">
      <x:c r="B153" s="89">
        <x:v>240</x:v>
      </x:c>
      <x:c r="D153" s="91" t="s">
        <x:v>979</x:v>
      </x:c>
      <x:c r="E153" s="91" t="s">
        <x:v>1164</x:v>
      </x:c>
      <x:c r="F153" s="91" t="s">
        <x:v>1164</x:v>
      </x:c>
    </x:row>
    <x:row r="154" spans="2:6">
      <x:c r="B154" s="89">
        <x:v>241</x:v>
      </x:c>
      <x:c r="D154" s="91" t="s">
        <x:v>501</x:v>
      </x:c>
      <x:c r="E154" s="91" t="s">
        <x:v>1199</x:v>
      </x:c>
      <x:c r="F154" s="91" t="s">
        <x:v>1199</x:v>
      </x:c>
    </x:row>
    <x:row r="155" spans="2:6">
      <x:c r="B155" s="89">
        <x:v>242</x:v>
      </x:c>
      <x:c r="D155" s="91" t="s">
        <x:v>1282</x:v>
      </x:c>
      <x:c r="E155" s="91" t="s">
        <x:v>736</x:v>
      </x:c>
      <x:c r="F155" s="91" t="s">
        <x:v>736</x:v>
      </x:c>
    </x:row>
    <x:row r="156" spans="2:6">
      <x:c r="B156" s="89">
        <x:v>243</x:v>
      </x:c>
      <x:c r="D156" s="91" t="s">
        <x:v>483</x:v>
      </x:c>
      <x:c r="E156" s="91" t="s">
        <x:v>1287</x:v>
      </x:c>
      <x:c r="F156" s="91" t="s">
        <x:v>1287</x:v>
      </x:c>
    </x:row>
    <x:row r="157" spans="2:6">
      <x:c r="B157" s="89">
        <x:v>244</x:v>
      </x:c>
      <x:c r="D157" s="91" t="s">
        <x:v>300</x:v>
      </x:c>
      <x:c r="E157" s="91" t="s">
        <x:v>1160</x:v>
      </x:c>
      <x:c r="F157" s="91" t="s">
        <x:v>1160</x:v>
      </x:c>
    </x:row>
    <x:row r="158" spans="2:6">
      <x:c r="B158" s="89">
        <x:v>245</x:v>
      </x:c>
      <x:c r="D158" s="91" t="s">
        <x:v>301</x:v>
      </x:c>
      <x:c r="E158" s="91" t="s">
        <x:v>1317</x:v>
      </x:c>
      <x:c r="F158" s="91" t="s">
        <x:v>1317</x:v>
      </x:c>
    </x:row>
    <x:row r="159" spans="2:6">
      <x:c r="B159" s="89">
        <x:v>246</x:v>
      </x:c>
      <x:c r="D159" s="91" t="s">
        <x:v>1387</x:v>
      </x:c>
      <x:c r="E159" s="91" t="s">
        <x:v>1198</x:v>
      </x:c>
      <x:c r="F159" s="91" t="s">
        <x:v>1198</x:v>
      </x:c>
    </x:row>
    <x:row r="160" spans="2:6">
      <x:c r="B160" s="89">
        <x:v>247</x:v>
      </x:c>
      <x:c r="D160" s="91" t="s">
        <x:v>135</x:v>
      </x:c>
      <x:c r="E160" s="91" t="s">
        <x:v>1070</x:v>
      </x:c>
      <x:c r="F160" s="91" t="s">
        <x:v>1070</x:v>
      </x:c>
    </x:row>
    <x:row r="161" spans="2:6">
      <x:c r="B161" s="89">
        <x:v>248</x:v>
      </x:c>
      <x:c r="D161" s="91" t="s">
        <x:v>1151</x:v>
      </x:c>
      <x:c r="E161" s="91" t="s">
        <x:v>737</x:v>
      </x:c>
      <x:c r="F161" s="91" t="s">
        <x:v>737</x:v>
      </x:c>
    </x:row>
    <x:row r="162" spans="2:6">
      <x:c r="B162" s="89">
        <x:v>249</x:v>
      </x:c>
      <x:c r="D162" s="91" t="s">
        <x:v>1140</x:v>
      </x:c>
      <x:c r="E162" s="91" t="s">
        <x:v>744</x:v>
      </x:c>
      <x:c r="F162" s="91" t="s">
        <x:v>744</x:v>
      </x:c>
    </x:row>
    <x:row r="163" spans="2:6">
      <x:c r="B163" s="89">
        <x:v>250</x:v>
      </x:c>
      <x:c r="D163" s="91" t="s">
        <x:v>28</x:v>
      </x:c>
      <x:c r="E163" s="91" t="s">
        <x:v>1310</x:v>
      </x:c>
      <x:c r="F163" s="91" t="s">
        <x:v>1310</x:v>
      </x:c>
    </x:row>
    <x:row r="164" spans="2:6">
      <x:c r="B164" s="89">
        <x:v>251</x:v>
      </x:c>
      <x:c r="D164" s="91" t="s">
        <x:v>154</x:v>
      </x:c>
      <x:c r="E164" s="91" t="s">
        <x:v>163</x:v>
      </x:c>
      <x:c r="F164" s="91" t="s">
        <x:v>163</x:v>
      </x:c>
    </x:row>
    <x:row r="165" spans="2:6">
      <x:c r="B165" s="89">
        <x:v>252</x:v>
      </x:c>
      <x:c r="D165" s="91" t="s">
        <x:v>484</x:v>
      </x:c>
      <x:c r="E165" s="91" t="s">
        <x:v>1358</x:v>
      </x:c>
      <x:c r="F165" s="91" t="s">
        <x:v>1358</x:v>
      </x:c>
    </x:row>
    <x:row r="166" spans="2:6">
      <x:c r="B166" s="89">
        <x:v>253</x:v>
      </x:c>
      <x:c r="D166" s="91" t="s">
        <x:v>1025</x:v>
      </x:c>
      <x:c r="E166" s="91" t="s">
        <x:v>458</x:v>
      </x:c>
      <x:c r="F166" s="91" t="s">
        <x:v>458</x:v>
      </x:c>
    </x:row>
    <x:row r="167" spans="2:6">
      <x:c r="B167" s="89">
        <x:v>254</x:v>
      </x:c>
      <x:c r="D167" s="91" t="s">
        <x:v>173</x:v>
      </x:c>
      <x:c r="E167" s="91" t="s">
        <x:v>628</x:v>
      </x:c>
      <x:c r="F167" s="91" t="s">
        <x:v>628</x:v>
      </x:c>
    </x:row>
    <x:row r="168" spans="2:6">
      <x:c r="B168" s="89">
        <x:v>255</x:v>
      </x:c>
      <x:c r="C168" s="90" t="s">
        <x:v>1144</x:v>
      </x:c>
      <x:c r="D168" s="91" t="s">
        <x:v>106</x:v>
      </x:c>
      <x:c r="E168" s="91" t="s">
        <x:v>1039</x:v>
      </x:c>
      <x:c r="F168" s="91" t="s">
        <x:v>1039</x:v>
      </x:c>
    </x:row>
    <x:row r="169" spans="2:6">
      <x:c r="B169" s="89">
        <x:v>256</x:v>
      </x:c>
      <x:c r="D169" s="91" t="s">
        <x:v>561</x:v>
      </x:c>
      <x:c r="E169" s="91" t="s">
        <x:v>1311</x:v>
      </x:c>
      <x:c r="F169" s="91" t="s">
        <x:v>1311</x:v>
      </x:c>
    </x:row>
    <x:row r="170" spans="2:6">
      <x:c r="B170" s="89">
        <x:v>257</x:v>
      </x:c>
      <x:c r="D170" s="91" t="s">
        <x:v>1141</x:v>
      </x:c>
      <x:c r="E170" s="91" t="s">
        <x:v>1161</x:v>
      </x:c>
      <x:c r="F170" s="91" t="s">
        <x:v>1161</x:v>
      </x:c>
    </x:row>
    <x:row r="171" spans="2:6">
      <x:c r="B171" s="89">
        <x:v>258</x:v>
      </x:c>
      <x:c r="D171" s="91" t="s">
        <x:v>626</x:v>
      </x:c>
      <x:c r="E171" s="91" t="s">
        <x:v>1204</x:v>
      </x:c>
      <x:c r="F171" s="91" t="s">
        <x:v>1204</x:v>
      </x:c>
    </x:row>
    <x:row r="172" spans="2:6">
      <x:c r="B172" s="89">
        <x:v>259</x:v>
      </x:c>
      <x:c r="D172" s="91" t="s">
        <x:v>372</x:v>
      </x:c>
      <x:c r="E172" s="91" t="s">
        <x:v>755</x:v>
      </x:c>
      <x:c r="F172" s="91" t="s">
        <x:v>755</x:v>
      </x:c>
    </x:row>
    <x:row r="173" spans="2:6">
      <x:c r="B173" s="89">
        <x:v>260</x:v>
      </x:c>
      <x:c r="D173" s="91" t="s">
        <x:v>1001</x:v>
      </x:c>
      <x:c r="E173" s="91" t="s">
        <x:v>1036</x:v>
      </x:c>
      <x:c r="F173" s="91" t="s">
        <x:v>1036</x:v>
      </x:c>
    </x:row>
    <x:row r="174" spans="2:6">
      <x:c r="B174" s="89">
        <x:v>261</x:v>
      </x:c>
      <x:c r="D174" s="91" t="s">
        <x:v>1018</x:v>
      </x:c>
      <x:c r="E174" s="91" t="s">
        <x:v>820</x:v>
      </x:c>
      <x:c r="F174" s="91" t="s">
        <x:v>820</x:v>
      </x:c>
    </x:row>
    <x:row r="175" spans="2:6" ht="24">
      <x:c r="B175" s="89">
        <x:v>262</x:v>
      </x:c>
      <x:c r="D175" s="91" t="s">
        <x:v>1168</x:v>
      </x:c>
      <x:c r="E175" s="91" t="s">
        <x:v>476</x:v>
      </x:c>
      <x:c r="F175" s="91" t="s">
        <x:v>476</x:v>
      </x:c>
    </x:row>
    <x:row r="176" spans="2:6" ht="24">
      <x:c r="B176" s="89">
        <x:v>263</x:v>
      </x:c>
      <x:c r="D176" s="91" t="s">
        <x:v>226</x:v>
      </x:c>
      <x:c r="E176" s="91" t="s">
        <x:v>1034</x:v>
      </x:c>
      <x:c r="F176" s="91" t="s">
        <x:v>1034</x:v>
      </x:c>
    </x:row>
    <x:row r="177" spans="2:6">
      <x:c r="B177" s="89">
        <x:v>264</x:v>
      </x:c>
      <x:c r="D177" s="91" t="s">
        <x:v>663</x:v>
      </x:c>
      <x:c r="E177" s="91" t="s">
        <x:v>397</x:v>
      </x:c>
      <x:c r="F177" s="91" t="s">
        <x:v>397</x:v>
      </x:c>
    </x:row>
    <x:row r="178" spans="2:6">
      <x:c r="B178" s="89">
        <x:v>265</x:v>
      </x:c>
      <x:c r="D178" s="91" t="s">
        <x:v>531</x:v>
      </x:c>
      <x:c r="E178" s="91" t="s">
        <x:v>1028</x:v>
      </x:c>
      <x:c r="F178" s="91" t="s">
        <x:v>1028</x:v>
      </x:c>
    </x:row>
    <x:row r="179" spans="2:6">
      <x:c r="B179" s="89">
        <x:v>266</x:v>
      </x:c>
      <x:c r="D179" s="91" t="s">
        <x:v>659</x:v>
      </x:c>
      <x:c r="E179" s="91" t="s">
        <x:v>1354</x:v>
      </x:c>
      <x:c r="F179" s="91" t="s">
        <x:v>1354</x:v>
      </x:c>
    </x:row>
    <x:row r="180" spans="2:6">
      <x:c r="B180" s="89">
        <x:v>267</x:v>
      </x:c>
      <x:c r="D180" s="91" t="s">
        <x:v>336</x:v>
      </x:c>
      <x:c r="E180" s="91" t="s">
        <x:v>741</x:v>
      </x:c>
      <x:c r="F180" s="91" t="s">
        <x:v>741</x:v>
      </x:c>
    </x:row>
    <x:row r="181" spans="2:6">
      <x:c r="B181" s="89">
        <x:v>268</x:v>
      </x:c>
      <x:c r="D181" s="91" t="s">
        <x:v>1348</x:v>
      </x:c>
      <x:c r="E181" s="91" t="s">
        <x:v>1352</x:v>
      </x:c>
      <x:c r="F181" s="91" t="s">
        <x:v>1352</x:v>
      </x:c>
    </x:row>
    <x:row r="182" spans="2:6">
      <x:c r="B182" s="89">
        <x:v>269</x:v>
      </x:c>
      <x:c r="D182" s="91" t="s">
        <x:v>1125</x:v>
      </x:c>
      <x:c r="E182" s="91" t="s">
        <x:v>1207</x:v>
      </x:c>
      <x:c r="F182" s="91" t="s">
        <x:v>1207</x:v>
      </x:c>
    </x:row>
    <x:row r="183" spans="2:6">
      <x:c r="B183" s="89">
        <x:v>270</x:v>
      </x:c>
      <x:c r="D183" s="91" t="s">
        <x:v>707</x:v>
      </x:c>
      <x:c r="E183" s="91" t="s">
        <x:v>1454</x:v>
      </x:c>
      <x:c r="F183" s="91" t="s">
        <x:v>1454</x:v>
      </x:c>
    </x:row>
    <x:row r="184" spans="2:6" ht="24">
      <x:c r="B184" s="89">
        <x:v>271</x:v>
      </x:c>
      <x:c r="D184" s="91" t="s">
        <x:v>197</x:v>
      </x:c>
      <x:c r="E184" s="91" t="s">
        <x:v>257</x:v>
      </x:c>
      <x:c r="F184" s="91" t="s">
        <x:v>257</x:v>
      </x:c>
    </x:row>
    <x:row r="185" spans="2:6" ht="36">
      <x:c r="B185" s="89">
        <x:v>272</x:v>
      </x:c>
      <x:c r="D185" s="91" t="s">
        <x:v>145</x:v>
      </x:c>
      <x:c r="E185" s="91" t="s">
        <x:v>148</x:v>
      </x:c>
      <x:c r="F185" s="91" t="s">
        <x:v>148</x:v>
      </x:c>
    </x:row>
    <x:row r="186" spans="2:6">
      <x:c r="B186" s="89">
        <x:v>273</x:v>
      </x:c>
      <x:c r="D186" s="91" t="s">
        <x:v>1423</x:v>
      </x:c>
      <x:c r="E186" s="91" t="s">
        <x:v>620</x:v>
      </x:c>
      <x:c r="F186" s="91" t="s">
        <x:v>620</x:v>
      </x:c>
    </x:row>
    <x:row r="187" spans="2:6">
      <x:c r="B187" s="89">
        <x:v>274</x:v>
      </x:c>
      <x:c r="D187" s="91" t="s">
        <x:v>1430</x:v>
      </x:c>
      <x:c r="E187" s="91" t="s">
        <x:v>1458</x:v>
      </x:c>
      <x:c r="F187" s="91" t="s">
        <x:v>1458</x:v>
      </x:c>
    </x:row>
    <x:row r="188" spans="2:6">
      <x:c r="B188" s="89">
        <x:v>275</x:v>
      </x:c>
      <x:c r="D188" s="91" t="s">
        <x:v>696</x:v>
      </x:c>
      <x:c r="E188" s="91" t="s">
        <x:v>1459</x:v>
      </x:c>
      <x:c r="F188" s="91" t="s">
        <x:v>1459</x:v>
      </x:c>
    </x:row>
    <x:row r="189" spans="2:6">
      <x:c r="B189" s="89">
        <x:v>276</x:v>
      </x:c>
      <x:c r="D189" s="91" t="s">
        <x:v>562</x:v>
      </x:c>
      <x:c r="E189" s="91" t="s">
        <x:v>1205</x:v>
      </x:c>
      <x:c r="F189" s="91" t="s">
        <x:v>1205</x:v>
      </x:c>
    </x:row>
    <x:row r="190" spans="2:6">
      <x:c r="B190" s="89">
        <x:v>277</x:v>
      </x:c>
      <x:c r="D190" s="91" t="s">
        <x:v>334</x:v>
      </x:c>
      <x:c r="E190" s="91" t="s">
        <x:v>746</x:v>
      </x:c>
      <x:c r="F190" s="91" t="s">
        <x:v>746</x:v>
      </x:c>
    </x:row>
    <x:row r="191" spans="2:6">
      <x:c r="B191" s="89">
        <x:v>278</x:v>
      </x:c>
      <x:c r="D191" s="91" t="s">
        <x:v>699</x:v>
      </x:c>
      <x:c r="E191" s="91" t="s">
        <x:v>742</x:v>
      </x:c>
      <x:c r="F191" s="91" t="s">
        <x:v>742</x:v>
      </x:c>
    </x:row>
    <x:row r="192" spans="2:6">
      <x:c r="B192" s="89">
        <x:v>279</x:v>
      </x:c>
      <x:c r="D192" s="91" t="s">
        <x:v>335</x:v>
      </x:c>
      <x:c r="E192" s="91" t="s">
        <x:v>747</x:v>
      </x:c>
      <x:c r="F192" s="91" t="s">
        <x:v>747</x:v>
      </x:c>
    </x:row>
    <x:row r="193" spans="2:6">
      <x:c r="B193" s="89">
        <x:v>280</x:v>
      </x:c>
      <x:c r="D193" s="91" t="s">
        <x:v>697</x:v>
      </x:c>
      <x:c r="E193" s="91" t="s">
        <x:v>1435</x:v>
      </x:c>
      <x:c r="F193" s="91" t="s">
        <x:v>1435</x:v>
      </x:c>
    </x:row>
    <x:row r="194" spans="2:6">
      <x:c r="B194" s="89">
        <x:v>281</x:v>
      </x:c>
      <x:c r="D194" s="91" t="s">
        <x:v>337</x:v>
      </x:c>
      <x:c r="E194" s="91" t="s">
        <x:v>751</x:v>
      </x:c>
      <x:c r="F194" s="91" t="s">
        <x:v>751</x:v>
      </x:c>
    </x:row>
    <x:row r="195" spans="2:6">
      <x:c r="B195" s="89">
        <x:v>282</x:v>
      </x:c>
      <x:c r="D195" s="91" t="s">
        <x:v>274</x:v>
      </x:c>
      <x:c r="E195" s="91" t="s">
        <x:v>152</x:v>
      </x:c>
      <x:c r="F195" s="91" t="s">
        <x:v>152</x:v>
      </x:c>
    </x:row>
    <x:row r="196" spans="2:6">
      <x:c r="B196" s="89">
        <x:v>283</x:v>
      </x:c>
      <x:c r="D196" s="91" t="s">
        <x:v>587</x:v>
      </x:c>
      <x:c r="E196" s="91" t="s">
        <x:v>630</x:v>
      </x:c>
      <x:c r="F196" s="91" t="s">
        <x:v>630</x:v>
      </x:c>
    </x:row>
    <x:row r="197" spans="2:6" ht="24">
      <x:c r="B197" s="89">
        <x:v>284</x:v>
      </x:c>
      <x:c r="D197" s="91" t="s">
        <x:v>356</x:v>
      </x:c>
      <x:c r="E197" s="91" t="s">
        <x:v>309</x:v>
      </x:c>
      <x:c r="F197" s="91" t="s">
        <x:v>309</x:v>
      </x:c>
    </x:row>
    <x:row r="198" spans="2:6">
      <x:c r="B198" s="89">
        <x:v>285</x:v>
      </x:c>
      <x:c r="D198" s="91" t="s">
        <x:v>1146</x:v>
      </x:c>
      <x:c r="E198" s="91" t="s">
        <x:v>1206</x:v>
      </x:c>
      <x:c r="F198" s="91" t="s">
        <x:v>1206</x:v>
      </x:c>
    </x:row>
    <x:row r="199" spans="2:6">
      <x:c r="B199" s="89">
        <x:v>286</x:v>
      </x:c>
      <x:c r="D199" s="91" t="s">
        <x:v>307</x:v>
      </x:c>
      <x:c r="E199" s="91" t="s">
        <x:v>1165</x:v>
      </x:c>
      <x:c r="F199" s="91" t="s">
        <x:v>1165</x:v>
      </x:c>
    </x:row>
    <x:row r="200" spans="2:6">
      <x:c r="B200" s="89">
        <x:v>287</x:v>
      </x:c>
      <x:c r="D200" s="91" t="s">
        <x:v>1429</x:v>
      </x:c>
      <x:c r="E200" s="91" t="s">
        <x:v>1464</x:v>
      </x:c>
      <x:c r="F200" s="91" t="s">
        <x:v>1464</x:v>
      </x:c>
    </x:row>
    <x:row r="201" spans="2:6">
      <x:c r="B201" s="89">
        <x:v>288</x:v>
      </x:c>
      <x:c r="D201" s="91" t="s">
        <x:v>594</x:v>
      </x:c>
      <x:c r="E201" s="91" t="s">
        <x:v>1166</x:v>
      </x:c>
      <x:c r="F201" s="91" t="s">
        <x:v>1166</x:v>
      </x:c>
    </x:row>
    <x:row r="202" spans="2:6">
      <x:c r="B202" s="89">
        <x:v>289</x:v>
      </x:c>
      <x:c r="D202" s="91" t="s">
        <x:v>611</x:v>
      </x:c>
      <x:c r="E202" s="91" t="s">
        <x:v>1167</x:v>
      </x:c>
      <x:c r="F202" s="91" t="s">
        <x:v>1167</x:v>
      </x:c>
    </x:row>
    <x:row r="203" spans="2:6">
      <x:c r="B203" s="89">
        <x:v>290</x:v>
      </x:c>
      <x:c r="D203" s="91" t="s">
        <x:v>1153</x:v>
      </x:c>
      <x:c r="E203" s="91" t="s">
        <x:v>1159</x:v>
      </x:c>
      <x:c r="F203" s="91" t="s">
        <x:v>1159</x:v>
      </x:c>
    </x:row>
    <x:row r="204" spans="2:6">
      <x:c r="B204" s="89">
        <x:v>291</x:v>
      </x:c>
      <x:c r="D204" s="91" t="s">
        <x:v>534</x:v>
      </x:c>
      <x:c r="E204" s="91" t="s">
        <x:v>1338</x:v>
      </x:c>
      <x:c r="F204" s="91" t="s">
        <x:v>1338</x:v>
      </x:c>
    </x:row>
    <x:row r="205" spans="2:6">
      <x:c r="B205" s="89">
        <x:v>292</x:v>
      </x:c>
      <x:c r="D205" s="91" t="s">
        <x:v>546</x:v>
      </x:c>
      <x:c r="E205" s="91" t="s">
        <x:v>453</x:v>
      </x:c>
      <x:c r="F205" s="91" t="s">
        <x:v>453</x:v>
      </x:c>
    </x:row>
    <x:row r="206" spans="2:6">
      <x:c r="B206" s="89">
        <x:v>293</x:v>
      </x:c>
      <x:c r="D206" s="91" t="s">
        <x:v>541</x:v>
      </x:c>
      <x:c r="E206" s="91" t="s">
        <x:v>1335</x:v>
      </x:c>
      <x:c r="F206" s="91" t="s">
        <x:v>1335</x:v>
      </x:c>
    </x:row>
    <x:row r="207" spans="2:6">
      <x:c r="B207" s="89">
        <x:v>294</x:v>
      </x:c>
      <x:c r="D207" s="91" t="s">
        <x:v>1062</x:v>
      </x:c>
      <x:c r="E207" s="91" t="s">
        <x:v>428</x:v>
      </x:c>
      <x:c r="F207" s="91" t="s">
        <x:v>428</x:v>
      </x:c>
    </x:row>
    <x:row r="208" spans="2:6">
      <x:c r="B208" s="89">
        <x:v>295</x:v>
      </x:c>
      <x:c r="D208" s="91" t="s">
        <x:v>629</x:v>
      </x:c>
      <x:c r="E208" s="91" t="s">
        <x:v>1040</x:v>
      </x:c>
      <x:c r="F208" s="91" t="s">
        <x:v>1040</x:v>
      </x:c>
    </x:row>
    <x:row r="209" spans="2:6">
      <x:c r="B209" s="89">
        <x:v>296</x:v>
      </x:c>
      <x:c r="D209" s="91" t="s">
        <x:v>964</x:v>
      </x:c>
      <x:c r="E209" s="91" t="s">
        <x:v>1373</x:v>
      </x:c>
      <x:c r="F209" s="91" t="s">
        <x:v>1373</x:v>
      </x:c>
    </x:row>
    <x:row r="210" spans="2:6">
      <x:c r="B210" s="89">
        <x:v>297</x:v>
      </x:c>
      <x:c r="D210" s="91" t="s">
        <x:v>717</x:v>
      </x:c>
      <x:c r="E210" s="91" t="s">
        <x:v>1496</x:v>
      </x:c>
      <x:c r="F210" s="91" t="s">
        <x:v>1496</x:v>
      </x:c>
    </x:row>
    <x:row r="211" spans="2:6">
      <x:c r="B211" s="89">
        <x:v>298</x:v>
      </x:c>
      <x:c r="C211" s="90" t="s">
        <x:v>1328</x:v>
      </x:c>
      <x:c r="D211" s="91" t="s">
        <x:v>485</x:v>
      </x:c>
      <x:c r="E211" s="91" t="s">
        <x:v>848</x:v>
      </x:c>
      <x:c r="F211" s="91" t="s">
        <x:v>848</x:v>
      </x:c>
    </x:row>
    <x:row r="212" spans="2:6">
      <x:c r="B212" s="89">
        <x:v>299</x:v>
      </x:c>
      <x:c r="D212" s="91" t="s">
        <x:v>857</x:v>
      </x:c>
      <x:c r="E212" s="91" t="s">
        <x:v>1507</x:v>
      </x:c>
      <x:c r="F212" s="91" t="s">
        <x:v>1507</x:v>
      </x:c>
    </x:row>
    <x:row r="213" spans="2:6">
      <x:c r="B213" s="89">
        <x:v>300</x:v>
      </x:c>
      <x:c r="D213" s="91" t="s">
        <x:v>382</x:v>
      </x:c>
      <x:c r="E213" s="91" t="s">
        <x:v>1179</x:v>
      </x:c>
      <x:c r="F213" s="91" t="s">
        <x:v>1179</x:v>
      </x:c>
    </x:row>
    <x:row r="214" spans="2:6">
      <x:c r="B214" s="89">
        <x:v>301</x:v>
      </x:c>
      <x:c r="D214" s="91" t="s">
        <x:v>530</x:v>
      </x:c>
      <x:c r="E214" s="91" t="s">
        <x:v>650</x:v>
      </x:c>
      <x:c r="F214" s="91" t="s">
        <x:v>650</x:v>
      </x:c>
    </x:row>
    <x:row r="215" spans="2:6">
      <x:c r="B215" s="89">
        <x:v>302</x:v>
      </x:c>
      <x:c r="C215" s="90" t="s">
        <x:v>1328</x:v>
      </x:c>
      <x:c r="D215" s="180" t="s">
        <x:v>835</x:v>
      </x:c>
      <x:c r="E215" s="180" t="s">
        <x:v>1514</x:v>
      </x:c>
      <x:c r="F215" s="180" t="s">
        <x:v>1514</x:v>
      </x:c>
    </x:row>
    <x:row r="216" spans="2:6">
      <x:c r="B216" s="89">
        <x:v>303</x:v>
      </x:c>
      <x:c r="C216" s="90" t="s">
        <x:v>1328</x:v>
      </x:c>
      <x:c r="D216" s="180" t="s">
        <x:v>533</x:v>
      </x:c>
      <x:c r="E216" s="180" t="s">
        <x:v>1355</x:v>
      </x:c>
      <x:c r="F216" s="180" t="s">
        <x:v>1355</x:v>
      </x:c>
    </x:row>
    <x:row r="217" spans="2:6">
      <x:c r="B217" s="89">
        <x:v>304</x:v>
      </x:c>
      <x:c r="C217" s="90" t="s">
        <x:v>1328</x:v>
      </x:c>
      <x:c r="D217" s="180" t="s">
        <x:v>461</x:v>
      </x:c>
      <x:c r="E217" s="180" t="s">
        <x:v>1521</x:v>
      </x:c>
      <x:c r="F217" s="180" t="s">
        <x:v>1521</x:v>
      </x:c>
    </x:row>
    <x:row r="218" spans="2:6">
      <x:c r="B218" s="89">
        <x:v>305</x:v>
      </x:c>
      <x:c r="C218" s="90" t="s">
        <x:v>1328</x:v>
      </x:c>
      <x:c r="D218" s="180" t="s">
        <x:v>635</x:v>
      </x:c>
      <x:c r="E218" s="180" t="s">
        <x:v>1069</x:v>
      </x:c>
      <x:c r="F218" s="180" t="s">
        <x:v>1069</x:v>
      </x:c>
    </x:row>
    <x:row r="219" spans="2:6">
      <x:c r="B219" s="89">
        <x:v>305</x:v>
      </x:c>
      <x:c r="C219" s="90" t="s">
        <x:v>1328</x:v>
      </x:c>
      <x:c r="D219" s="180" t="s">
        <x:v>295</x:v>
      </x:c>
      <x:c r="E219" s="180" t="s">
        <x:v>136</x:v>
      </x:c>
      <x:c r="F219" s="180" t="s">
        <x:v>136</x:v>
      </x:c>
    </x:row>
    <x:row r="220" spans="2:6">
      <x:c r="B220" s="89">
        <x:v>306</x:v>
      </x:c>
      <x:c r="C220" s="90" t="s">
        <x:v>1328</x:v>
      </x:c>
      <x:c r="D220" s="180" t="s">
        <x:v>236</x:v>
      </x:c>
      <x:c r="E220" s="180" t="s">
        <x:v>1404</x:v>
      </x:c>
      <x:c r="F220" s="180" t="s">
        <x:v>1404</x:v>
      </x:c>
    </x:row>
    <x:row r="221" spans="2:6">
      <x:c r="B221" s="89">
        <x:v>307</x:v>
      </x:c>
      <x:c r="C221" s="90" t="s">
        <x:v>1328</x:v>
      </x:c>
      <x:c r="D221" s="180" t="s">
        <x:v>219</x:v>
      </x:c>
      <x:c r="E221" s="180" t="s">
        <x:v>1411</x:v>
      </x:c>
      <x:c r="F221" s="180" t="s">
        <x:v>1411</x:v>
      </x:c>
    </x:row>
    <x:row r="222" spans="2:6">
      <x:c r="B222" s="89">
        <x:v>308</x:v>
      </x:c>
      <x:c r="C222" s="90" t="s">
        <x:v>1328</x:v>
      </x:c>
      <x:c r="D222" s="180" t="s">
        <x:v>276</x:v>
      </x:c>
      <x:c r="E222" s="180" t="s">
        <x:v>294</x:v>
      </x:c>
      <x:c r="F222" s="180" t="s">
        <x:v>294</x:v>
      </x:c>
    </x:row>
    <x:row r="223" spans="2:6">
      <x:c r="B223" s="89">
        <x:v>309</x:v>
      </x:c>
      <x:c r="C223" s="90" t="s">
        <x:v>1328</x:v>
      </x:c>
      <x:c r="D223" s="180" t="s">
        <x:v>351</x:v>
      </x:c>
      <x:c r="E223" s="180" t="s">
        <x:v>277</x:v>
      </x:c>
      <x:c r="F223" s="180" t="s">
        <x:v>277</x:v>
      </x:c>
    </x:row>
    <x:row r="224" spans="2:6">
      <x:c r="B224" s="89">
        <x:v>310</x:v>
      </x:c>
      <x:c r="C224" s="90" t="s">
        <x:v>1328</x:v>
      </x:c>
      <x:c r="D224" s="180" t="s">
        <x:v>365</x:v>
      </x:c>
      <x:c r="E224" s="180" t="s">
        <x:v>279</x:v>
      </x:c>
      <x:c r="F224" s="180" t="s">
        <x:v>279</x:v>
      </x:c>
    </x:row>
    <x:row r="225" spans="2:6">
      <x:c r="B225" s="89">
        <x:v>311</x:v>
      </x:c>
      <x:c r="C225" s="90" t="s">
        <x:v>1328</x:v>
      </x:c>
      <x:c r="D225" s="180" t="s">
        <x:v>216</x:v>
      </x:c>
      <x:c r="E225" s="180" t="s">
        <x:v>223</x:v>
      </x:c>
      <x:c r="F225" s="180" t="s">
        <x:v>223</x:v>
      </x:c>
    </x:row>
    <x:row r="226" spans="2:6">
      <x:c r="B226" s="89">
        <x:v>312</x:v>
      </x:c>
      <x:c r="C226" s="90" t="s">
        <x:v>1328</x:v>
      </x:c>
      <x:c r="D226" s="180" t="s">
        <x:v>278</x:v>
      </x:c>
      <x:c r="E226" s="180" t="s">
        <x:v>298</x:v>
      </x:c>
      <x:c r="F226" s="180" t="s">
        <x:v>298</x:v>
      </x:c>
    </x:row>
    <x:row r="227" spans="2:6">
      <x:c r="B227" s="89">
        <x:v>313</x:v>
      </x:c>
      <x:c r="C227" s="90" t="s">
        <x:v>1328</x:v>
      </x:c>
      <x:c r="D227" s="180" t="s">
        <x:v>187</x:v>
      </x:c>
      <x:c r="E227" s="180" t="s">
        <x:v>360</x:v>
      </x:c>
      <x:c r="F227" s="180" t="s">
        <x:v>360</x:v>
      </x:c>
    </x:row>
    <x:row r="228" spans="2:6">
      <x:c r="B228" s="89">
        <x:v>314</x:v>
      </x:c>
      <x:c r="C228" s="90" t="s">
        <x:v>1328</x:v>
      </x:c>
      <x:c r="D228" s="180" t="s">
        <x:v>191</x:v>
      </x:c>
      <x:c r="E228" s="91" t="s">
        <x:v>366</x:v>
      </x:c>
      <x:c r="F228" s="91" t="s">
        <x:v>366</x:v>
      </x:c>
    </x:row>
    <x:row r="229" spans="2:6">
      <x:c r="B229" s="89">
        <x:v>315</x:v>
      </x:c>
      <x:c r="C229" s="90" t="s">
        <x:v>1328</x:v>
      </x:c>
      <x:c r="D229" s="180" t="s">
        <x:v>359</x:v>
      </x:c>
      <x:c r="E229" s="91" t="s">
        <x:v>263</x:v>
      </x:c>
      <x:c r="F229" s="91" t="s">
        <x:v>263</x:v>
      </x:c>
    </x:row>
    <x:row r="230" spans="2:6">
      <x:c r="B230" s="89">
        <x:v>316</x:v>
      </x:c>
      <x:c r="C230" s="90" t="s">
        <x:v>1328</x:v>
      </x:c>
      <x:c r="D230" s="180" t="s">
        <x:v>318</x:v>
      </x:c>
      <x:c r="E230" s="91" t="s">
        <x:v>134</x:v>
      </x:c>
      <x:c r="F230" s="91" t="s">
        <x:v>134</x:v>
      </x:c>
    </x:row>
    <x:row r="231" spans="2:6">
      <x:c r="B231" s="89">
        <x:v>317</x:v>
      </x:c>
      <x:c r="C231" s="90" t="s">
        <x:v>1328</x:v>
      </x:c>
      <x:c r="D231" s="180" t="s">
        <x:v>188</x:v>
      </x:c>
      <x:c r="E231" s="91" t="s">
        <x:v>186</x:v>
      </x:c>
      <x:c r="F231" s="91" t="s">
        <x:v>186</x:v>
      </x:c>
    </x:row>
    <x:row r="232" spans="2:6">
      <x:c r="B232" s="89">
        <x:v>318</x:v>
      </x:c>
      <x:c r="C232" s="90" t="s">
        <x:v>1328</x:v>
      </x:c>
      <x:c r="D232" s="180" t="s">
        <x:v>280</x:v>
      </x:c>
      <x:c r="E232" s="180" t="s">
        <x:v>319</x:v>
      </x:c>
      <x:c r="F232" s="180" t="s">
        <x:v>319</x:v>
      </x:c>
    </x:row>
    <x:row r="233" spans="2:6" ht="24">
      <x:c r="B233" s="89">
        <x:v>319</x:v>
      </x:c>
      <x:c r="D233" s="91" t="s">
        <x:v>1170</x:v>
      </x:c>
      <x:c r="E233" s="91" t="s">
        <x:v>168</x:v>
      </x:c>
      <x:c r="F233" s="91" t="s">
        <x:v>168</x:v>
      </x:c>
    </x:row>
    <x:row r="234" spans="2:6" ht="24">
      <x:c r="B234" s="89">
        <x:v>320</x:v>
      </x:c>
      <x:c r="D234" s="91" t="s">
        <x:v>1172</x:v>
      </x:c>
      <x:c r="E234" s="91" t="s">
        <x:v>142</x:v>
      </x:c>
      <x:c r="F234" s="91" t="s">
        <x:v>142</x:v>
      </x:c>
    </x:row>
    <x:row r="235" spans="2:6" ht="24">
      <x:c r="B235" s="89">
        <x:v>321</x:v>
      </x:c>
      <x:c r="D235" s="91" t="s">
        <x:v>15</x:v>
      </x:c>
      <x:c r="E235" s="91" t="s">
        <x:v>225</x:v>
      </x:c>
      <x:c r="F235" s="91" t="s">
        <x:v>225</x:v>
      </x:c>
    </x:row>
    <x:row r="236" spans="2:6" ht="24">
      <x:c r="B236" s="89">
        <x:v>322</x:v>
      </x:c>
      <x:c r="C236" s="90" t="s">
        <x:v>1328</x:v>
      </x:c>
      <x:c r="D236" s="91" t="s">
        <x:v>94</x:v>
      </x:c>
      <x:c r="E236" s="91" t="s">
        <x:v>1016</x:v>
      </x:c>
      <x:c r="F236" s="91" t="s">
        <x:v>1016</x:v>
      </x:c>
    </x:row>
    <x:row r="237" spans="2:6">
      <x:c r="B237" s="89">
        <x:v>323</x:v>
      </x:c>
      <x:c r="D237" s="91" t="s">
        <x:v>724</x:v>
      </x:c>
      <x:c r="E237" s="91" t="s">
        <x:v>748</x:v>
      </x:c>
      <x:c r="F237" s="91" t="s">
        <x:v>748</x:v>
      </x:c>
    </x:row>
    <x:row r="238" spans="2:6">
      <x:c r="B238" s="89">
        <x:v>324</x:v>
      </x:c>
      <x:c r="C238" s="90" t="s">
        <x:v>1144</x:v>
      </x:c>
      <x:c r="D238" s="91" t="s">
        <x:v>124</x:v>
      </x:c>
      <x:c r="E238" s="91" t="s">
        <x:v>1014</x:v>
      </x:c>
      <x:c r="F238" s="91" t="s">
        <x:v>1014</x:v>
      </x:c>
    </x:row>
    <x:row r="239" spans="2:6">
      <x:c r="B239" s="89">
        <x:v>325</x:v>
      </x:c>
      <x:c r="D239" s="91" t="s">
        <x:v>567</x:v>
      </x:c>
      <x:c r="E239" s="91" t="s">
        <x:v>1209</x:v>
      </x:c>
      <x:c r="F239" s="91" t="s">
        <x:v>1209</x:v>
      </x:c>
    </x:row>
    <x:row r="240" spans="2:6">
      <x:c r="B240" s="89">
        <x:v>326</x:v>
      </x:c>
      <x:c r="D240" s="91" t="s">
        <x:v>138</x:v>
      </x:c>
      <x:c r="E240" s="91" t="s">
        <x:v>1308</x:v>
      </x:c>
      <x:c r="F240" s="91" t="s">
        <x:v>1308</x:v>
      </x:c>
    </x:row>
    <x:row r="241" spans="2:6">
      <x:c r="B241" s="89">
        <x:v>327</x:v>
      </x:c>
      <x:c r="D241" s="91" t="s">
        <x:v>143</x:v>
      </x:c>
      <x:c r="E241" s="91" t="s">
        <x:v>1313</x:v>
      </x:c>
      <x:c r="F241" s="91" t="s">
        <x:v>1313</x:v>
      </x:c>
    </x:row>
    <x:row r="242" spans="2:6">
      <x:c r="B242" s="89">
        <x:v>328</x:v>
      </x:c>
      <x:c r="C242" s="90" t="s">
        <x:v>1144</x:v>
      </x:c>
      <x:c r="D242" s="88" t="s">
        <x:v>101</x:v>
      </x:c>
      <x:c r="E242" s="180" t="s">
        <x:v>189</x:v>
      </x:c>
      <x:c r="F242" s="180" t="s">
        <x:v>189</x:v>
      </x:c>
    </x:row>
    <x:row r="243" spans="2:6">
      <x:c r="B243" s="89">
        <x:v>329</x:v>
      </x:c>
      <x:c r="C243" s="90" t="s">
        <x:v>1144</x:v>
      </x:c>
      <x:c r="D243" s="88" t="s">
        <x:v>235</x:v>
      </x:c>
      <x:c r="E243" s="180" t="s">
        <x:v>316</x:v>
      </x:c>
      <x:c r="F243" s="180" t="s">
        <x:v>316</x:v>
      </x:c>
    </x:row>
    <x:row r="244" spans="2:6">
      <x:c r="B244" s="89">
        <x:v>330</x:v>
      </x:c>
      <x:c r="D244" s="91" t="s">
        <x:v>1424</x:v>
      </x:c>
      <x:c r="E244" s="91" t="s">
        <x:v>631</x:v>
      </x:c>
      <x:c r="F244" s="91" t="s">
        <x:v>631</x:v>
      </x:c>
    </x:row>
    <x:row r="245" spans="2:6">
      <x:c r="B245" s="89">
        <x:v>331</x:v>
      </x:c>
      <x:c r="C245" s="90" t="s">
        <x:v>1144</x:v>
      </x:c>
      <x:c r="D245" s="91" t="s">
        <x:v>1031</x:v>
      </x:c>
      <x:c r="E245" s="91" t="s">
        <x:v>1187</x:v>
      </x:c>
      <x:c r="F245" s="91" t="s">
        <x:v>1187</x:v>
      </x:c>
    </x:row>
    <x:row r="246" spans="2:6">
      <x:c r="B246" s="89">
        <x:v>332</x:v>
      </x:c>
      <x:c r="C246" s="90" t="s">
        <x:v>1144</x:v>
      </x:c>
      <x:c r="D246" s="88" t="s">
        <x:v>1015</x:v>
      </x:c>
      <x:c r="E246" s="180" t="s">
        <x:v>1045</x:v>
      </x:c>
      <x:c r="F246" s="180" t="s">
        <x:v>1045</x:v>
      </x:c>
    </x:row>
    <x:row r="247" spans="2:6" ht="24">
      <x:c r="B247" s="89">
        <x:v>333</x:v>
      </x:c>
      <x:c r="D247" s="91" t="s">
        <x:v>227</x:v>
      </x:c>
      <x:c r="E247" s="91" t="s">
        <x:v>321</x:v>
      </x:c>
      <x:c r="F247" s="91" t="s">
        <x:v>321</x:v>
      </x:c>
    </x:row>
    <x:row r="248" spans="2:6" ht="24">
      <x:c r="B248" s="89">
        <x:v>334</x:v>
      </x:c>
      <x:c r="D248" s="91" t="s">
        <x:v>62</x:v>
      </x:c>
      <x:c r="E248" s="91" t="s">
        <x:v>255</x:v>
      </x:c>
      <x:c r="F248" s="91" t="s">
        <x:v>255</x:v>
      </x:c>
    </x:row>
    <x:row r="249" spans="2:6">
      <x:c r="B249" s="89">
        <x:v>335</x:v>
      </x:c>
      <x:c r="D249" s="91" t="s">
        <x:v>1252</x:v>
      </x:c>
      <x:c r="E249" s="91" t="s">
        <x:v>776</x:v>
      </x:c>
      <x:c r="F249" s="91" t="s">
        <x:v>776</x:v>
      </x:c>
    </x:row>
    <x:row r="250" spans="2:6">
      <x:c r="B250" s="89">
        <x:v>336</x:v>
      </x:c>
      <x:c r="D250" s="91" t="s">
        <x:v>131</x:v>
      </x:c>
      <x:c r="E250" s="91" t="s">
        <x:v>162</x:v>
      </x:c>
      <x:c r="F250" s="91" t="s">
        <x:v>162</x:v>
      </x:c>
    </x:row>
    <x:row r="251" spans="2:6">
      <x:c r="B251" s="89">
        <x:v>337</x:v>
      </x:c>
      <x:c r="D251" s="91" t="s">
        <x:v>160</x:v>
      </x:c>
      <x:c r="E251" s="91" t="s">
        <x:v>1321</x:v>
      </x:c>
      <x:c r="F251" s="91" t="s">
        <x:v>1321</x:v>
      </x:c>
    </x:row>
    <x:row r="252" spans="2:6">
      <x:c r="B252" s="89">
        <x:v>338</x:v>
      </x:c>
      <x:c r="D252" s="91" t="s">
        <x:v>1255</x:v>
      </x:c>
      <x:c r="E252" s="91" t="s">
        <x:v>787</x:v>
      </x:c>
      <x:c r="F252" s="91" t="s">
        <x:v>787</x:v>
      </x:c>
    </x:row>
    <x:row r="253" spans="2:6">
      <x:c r="B253" s="89">
        <x:v>339</x:v>
      </x:c>
      <x:c r="C253" s="90" t="s">
        <x:v>1328</x:v>
      </x:c>
      <x:c r="D253" s="91" t="s">
        <x:v>1402</x:v>
      </x:c>
      <x:c r="E253" s="91" t="s">
        <x:v>1332</x:v>
      </x:c>
      <x:c r="F253" s="91" t="s">
        <x:v>1332</x:v>
      </x:c>
    </x:row>
    <x:row r="254" spans="2:6">
      <x:c r="B254" s="89">
        <x:v>340</x:v>
      </x:c>
      <x:c r="C254" s="90" t="s">
        <x:v>1328</x:v>
      </x:c>
      <x:c r="D254" s="91" t="s">
        <x:v>665</x:v>
      </x:c>
      <x:c r="E254" s="91" t="s">
        <x:v>1073</x:v>
      </x:c>
      <x:c r="F254" s="91" t="s">
        <x:v>1073</x:v>
      </x:c>
    </x:row>
    <x:row r="255" spans="2:6">
      <x:c r="B255" s="89">
        <x:v>341</x:v>
      </x:c>
      <x:c r="D255" s="91" t="s">
        <x:v>1426</x:v>
      </x:c>
      <x:c r="E255" s="91" t="s">
        <x:v>509</x:v>
      </x:c>
      <x:c r="F255" s="91" t="s">
        <x:v>509</x:v>
      </x:c>
    </x:row>
    <x:row r="256" spans="2:6" ht="24">
      <x:c r="B256" s="89">
        <x:v>342</x:v>
      </x:c>
      <x:c r="C256" s="90" t="s">
        <x:v>1328</x:v>
      </x:c>
      <x:c r="D256" s="91" t="s">
        <x:v>244</x:v>
      </x:c>
      <x:c r="E256" s="91" t="s">
        <x:v>358</x:v>
      </x:c>
      <x:c r="F256" s="91" t="s">
        <x:v>358</x:v>
      </x:c>
    </x:row>
    <x:row r="257" spans="2:6">
      <x:c r="B257" s="89">
        <x:v>343</x:v>
      </x:c>
      <x:c r="D257" s="91" t="s">
        <x:v>215</x:v>
      </x:c>
      <x:c r="E257" s="91" t="s">
        <x:v>632</x:v>
      </x:c>
      <x:c r="F257" s="91" t="s">
        <x:v>632</x:v>
      </x:c>
    </x:row>
    <x:row r="258" spans="2:6">
      <x:c r="B258" s="89">
        <x:v>344</x:v>
      </x:c>
      <x:c r="D258" s="91" t="s">
        <x:v>338</x:v>
      </x:c>
      <x:c r="E258" s="91" t="s">
        <x:v>774</x:v>
      </x:c>
      <x:c r="F258" s="91" t="s">
        <x:v>774</x:v>
      </x:c>
    </x:row>
    <x:row r="259" spans="2:6">
      <x:c r="B259" s="89">
        <x:v>345</x:v>
      </x:c>
      <x:c r="D259" s="91" t="s">
        <x:v>1147</x:v>
      </x:c>
      <x:c r="E259" s="91" t="s">
        <x:v>1210</x:v>
      </x:c>
      <x:c r="F259" s="91" t="s">
        <x:v>1210</x:v>
      </x:c>
    </x:row>
    <x:row r="260" spans="2:6">
      <x:c r="B260" s="89">
        <x:v>346</x:v>
      </x:c>
      <x:c r="C260" s="90" t="s">
        <x:v>1328</x:v>
      </x:c>
      <x:c r="D260" s="91" t="s">
        <x:v>480</x:v>
      </x:c>
      <x:c r="E260" s="91" t="s">
        <x:v>427</x:v>
      </x:c>
      <x:c r="F260" s="91" t="s">
        <x:v>427</x:v>
      </x:c>
    </x:row>
    <x:row r="261" spans="2:6">
      <x:c r="B261" s="89">
        <x:v>347</x:v>
      </x:c>
      <x:c r="C261" s="90" t="s">
        <x:v>1144</x:v>
      </x:c>
      <x:c r="D261" s="88" t="s">
        <x:v>1038</x:v>
      </x:c>
      <x:c r="E261" s="180" t="s">
        <x:v>1300</x:v>
      </x:c>
      <x:c r="F261" s="180" t="s">
        <x:v>1300</x:v>
      </x:c>
    </x:row>
    <x:row r="262" spans="2:6" ht="24">
      <x:c r="B262" s="89">
        <x:v>348</x:v>
      </x:c>
      <x:c r="C262" s="90" t="s">
        <x:v>1328</x:v>
      </x:c>
      <x:c r="D262" s="91" t="s">
        <x:v>204</x:v>
      </x:c>
      <x:c r="E262" s="91" t="s">
        <x:v>262</x:v>
      </x:c>
      <x:c r="F262" s="91" t="s">
        <x:v>262</x:v>
      </x:c>
    </x:row>
    <x:row r="263" spans="2:6" ht="24">
      <x:c r="B263" s="89">
        <x:v>349</x:v>
      </x:c>
      <x:c r="D263" s="91" t="s">
        <x:v>206</x:v>
      </x:c>
      <x:c r="F263" s="91"/>
    </x:row>
    <x:row r="264" spans="2:6">
      <x:c r="B264" s="89">
        <x:v>350</x:v>
      </x:c>
      <x:c r="D264" s="91" t="s">
        <x:v>1425</x:v>
      </x:c>
      <x:c r="E264" s="91" t="s">
        <x:v>1315</x:v>
      </x:c>
      <x:c r="F264" s="91" t="s">
        <x:v>1315</x:v>
      </x:c>
    </x:row>
    <x:row r="265" spans="2:6">
      <x:c r="B265" s="89">
        <x:v>351</x:v>
      </x:c>
      <x:c r="D265" s="91" t="s">
        <x:v>339</x:v>
      </x:c>
      <x:c r="E265" s="91" t="s">
        <x:v>786</x:v>
      </x:c>
      <x:c r="F265" s="91" t="s">
        <x:v>786</x:v>
      </x:c>
    </x:row>
    <x:row r="266" spans="2:6">
      <x:c r="B266" s="89">
        <x:v>352</x:v>
      </x:c>
      <x:c r="D266" s="91" t="s">
        <x:v>705</x:v>
      </x:c>
      <x:c r="E266" s="91" t="s">
        <x:v>1479</x:v>
      </x:c>
      <x:c r="F266" s="91" t="s">
        <x:v>1479</x:v>
      </x:c>
    </x:row>
    <x:row r="267" spans="2:6">
      <x:c r="B267" s="89">
        <x:v>353</x:v>
      </x:c>
      <x:c r="C267" s="90" t="s">
        <x:v>1328</x:v>
      </x:c>
      <x:c r="D267" s="91" t="s">
        <x:v>997</x:v>
      </x:c>
      <x:c r="E267" s="91" t="s">
        <x:v>1067</x:v>
      </x:c>
      <x:c r="F267" s="91" t="s">
        <x:v>1067</x:v>
      </x:c>
    </x:row>
    <x:row r="268" spans="2:6">
      <x:c r="B268" s="89">
        <x:v>354</x:v>
      </x:c>
      <x:c r="D268" s="91" t="s">
        <x:v>340</x:v>
      </x:c>
      <x:c r="E268" s="91" t="s">
        <x:v>1485</x:v>
      </x:c>
      <x:c r="F268" s="91" t="s">
        <x:v>1485</x:v>
      </x:c>
    </x:row>
    <x:row r="269" spans="2:6">
      <x:c r="B269" s="89">
        <x:v>355</x:v>
      </x:c>
      <x:c r="D269" s="91" t="s">
        <x:v>1148</x:v>
      </x:c>
      <x:c r="E269" s="91" t="s">
        <x:v>1208</x:v>
      </x:c>
      <x:c r="F269" s="91" t="s">
        <x:v>1208</x:v>
      </x:c>
    </x:row>
    <x:row r="270" spans="2:6">
      <x:c r="B270" s="89">
        <x:v>356</x:v>
      </x:c>
      <x:c r="D270" s="91" t="s">
        <x:v>725</x:v>
      </x:c>
      <x:c r="E270" s="91" t="s">
        <x:v>782</x:v>
      </x:c>
      <x:c r="F270" s="91" t="s">
        <x:v>782</x:v>
      </x:c>
    </x:row>
    <x:row r="271" spans="2:6" ht="24">
      <x:c r="B271" s="89">
        <x:v>357</x:v>
      </x:c>
      <x:c r="C271" s="90" t="s">
        <x:v>1328</x:v>
      </x:c>
      <x:c r="D271" s="91" t="s">
        <x:v>113</x:v>
      </x:c>
      <x:c r="E271" s="91" t="s">
        <x:v>193</x:v>
      </x:c>
      <x:c r="F271" s="91" t="s">
        <x:v>193</x:v>
      </x:c>
    </x:row>
    <x:row r="272" spans="2:6" ht="36">
      <x:c r="B272" s="89">
        <x:v>358</x:v>
      </x:c>
      <x:c r="C272" s="90" t="s">
        <x:v>1328</x:v>
      </x:c>
      <x:c r="D272" s="91" t="s">
        <x:v>224</x:v>
      </x:c>
      <x:c r="E272" s="91" t="s">
        <x:v>16</x:v>
      </x:c>
      <x:c r="F272" s="91" t="s">
        <x:v>16</x:v>
      </x:c>
    </x:row>
    <x:row r="273" spans="2:6">
      <x:c r="B273" s="89">
        <x:v>359</x:v>
      </x:c>
      <x:c r="D273" s="91" t="s">
        <x:v>560</x:v>
      </x:c>
      <x:c r="E273" s="91" t="s">
        <x:v>983</x:v>
      </x:c>
      <x:c r="F273" s="91" t="s">
        <x:v>983</x:v>
      </x:c>
    </x:row>
    <x:row r="274" spans="2:6">
      <x:c r="B274" s="89">
        <x:v>360</x:v>
      </x:c>
      <x:c r="D274" s="91" t="s">
        <x:v>686</x:v>
      </x:c>
      <x:c r="E274" s="91" t="s">
        <x:v>686</x:v>
      </x:c>
      <x:c r="F274" s="91" t="s">
        <x:v>686</x:v>
      </x:c>
    </x:row>
    <x:row r="275" spans="2:6">
      <x:c r="B275" s="89">
        <x:v>361</x:v>
      </x:c>
      <x:c r="D275" s="91" t="s">
        <x:v>1392</x:v>
      </x:c>
      <x:c r="E275" s="91" t="s">
        <x:v>1392</x:v>
      </x:c>
      <x:c r="F275" s="91" t="s">
        <x:v>1392</x:v>
      </x:c>
    </x:row>
    <x:row r="276" spans="2:6">
      <x:c r="B276" s="89">
        <x:v>362</x:v>
      </x:c>
      <x:c r="D276" s="91" t="s">
        <x:v>708</x:v>
      </x:c>
      <x:c r="E276" s="91" t="s">
        <x:v>1444</x:v>
      </x:c>
      <x:c r="F276" s="91" t="s">
        <x:v>1444</x:v>
      </x:c>
    </x:row>
    <x:row r="277" spans="2:6">
      <x:c r="B277" s="89">
        <x:v>363</x:v>
      </x:c>
      <x:c r="D277" s="91" t="s">
        <x:v>710</x:v>
      </x:c>
      <x:c r="E277" s="91" t="s">
        <x:v>341</x:v>
      </x:c>
      <x:c r="F277" s="91" t="s">
        <x:v>341</x:v>
      </x:c>
    </x:row>
    <x:row r="278" spans="2:6">
      <x:c r="B278" s="89">
        <x:v>364</x:v>
      </x:c>
      <x:c r="D278" s="91" t="s">
        <x:v>669</x:v>
      </x:c>
      <x:c r="E278" s="91" t="s">
        <x:v>1341</x:v>
      </x:c>
      <x:c r="F278" s="91" t="s">
        <x:v>1341</x:v>
      </x:c>
    </x:row>
    <x:row r="279" spans="2:6">
      <x:c r="B279" s="89">
        <x:v>365</x:v>
      </x:c>
      <x:c r="D279" s="91" t="s">
        <x:v>342</x:v>
      </x:c>
      <x:c r="E279" s="91" t="s">
        <x:v>385</x:v>
      </x:c>
      <x:c r="F279" s="91" t="s">
        <x:v>385</x:v>
      </x:c>
    </x:row>
    <x:row r="280" spans="2:6">
      <x:c r="B280" s="89">
        <x:v>366</x:v>
      </x:c>
      <x:c r="D280" s="91" t="s">
        <x:v>343</x:v>
      </x:c>
      <x:c r="E280" s="91" t="s">
        <x:v>1214</x:v>
      </x:c>
      <x:c r="F280" s="91" t="s">
        <x:v>1214</x:v>
      </x:c>
    </x:row>
    <x:row r="281" spans="2:6">
      <x:c r="B281" s="89">
        <x:v>367</x:v>
      </x:c>
      <x:c r="D281" s="91" t="s">
        <x:v>1433</x:v>
      </x:c>
      <x:c r="E281" s="91" t="s">
        <x:v>1487</x:v>
      </x:c>
      <x:c r="F281" s="91" t="s">
        <x:v>1487</x:v>
      </x:c>
    </x:row>
    <x:row r="282" spans="2:6">
      <x:c r="B282" s="89">
        <x:v>368</x:v>
      </x:c>
      <x:c r="D282" s="91" t="s">
        <x:v>711</x:v>
      </x:c>
      <x:c r="E282" s="91" t="s">
        <x:v>1497</x:v>
      </x:c>
      <x:c r="F282" s="91" t="s">
        <x:v>1497</x:v>
      </x:c>
    </x:row>
    <x:row r="283" spans="2:6">
      <x:c r="B283" s="89">
        <x:v>369</x:v>
      </x:c>
      <x:c r="D283" s="91" t="s">
        <x:v>1270</x:v>
      </x:c>
      <x:c r="E283" s="91" t="s">
        <x:v>795</x:v>
      </x:c>
      <x:c r="F283" s="91" t="s">
        <x:v>795</x:v>
      </x:c>
    </x:row>
    <x:row r="284" spans="2:6">
      <x:c r="B284" s="89">
        <x:v>370</x:v>
      </x:c>
      <x:c r="D284" s="91" t="s">
        <x:v>730</x:v>
      </x:c>
      <x:c r="E284" s="91" t="s">
        <x:v>1497</x:v>
      </x:c>
      <x:c r="F284" s="91" t="s">
        <x:v>1497</x:v>
      </x:c>
    </x:row>
    <x:row r="285" spans="2:6">
      <x:c r="B285" s="89">
        <x:v>371</x:v>
      </x:c>
      <x:c r="C285" s="90" t="s">
        <x:v>1328</x:v>
      </x:c>
      <x:c r="D285" s="91" t="s">
        <x:v>641</x:v>
      </x:c>
      <x:c r="E285" s="91" t="s">
        <x:v>860</x:v>
      </x:c>
      <x:c r="F285" s="91" t="s">
        <x:v>860</x:v>
      </x:c>
    </x:row>
    <x:row r="286" spans="2:6">
      <x:c r="B286" s="89">
        <x:v>372</x:v>
      </x:c>
      <x:c r="D286" s="91" t="s">
        <x:v>603</x:v>
      </x:c>
      <x:c r="E286" s="91" t="s">
        <x:v>775</x:v>
      </x:c>
      <x:c r="F286" s="91" t="s">
        <x:v>775</x:v>
      </x:c>
    </x:row>
    <x:row r="287" spans="2:6">
      <x:c r="B287" s="89">
        <x:v>373</x:v>
      </x:c>
      <x:c r="D287" s="91" t="s">
        <x:v>378</x:v>
      </x:c>
      <x:c r="E287" s="91" t="s">
        <x:v>781</x:v>
      </x:c>
      <x:c r="F287" s="91" t="s">
        <x:v>781</x:v>
      </x:c>
    </x:row>
    <x:row r="288" spans="2:6">
      <x:c r="B288" s="89">
        <x:v>374</x:v>
      </x:c>
      <x:c r="D288" s="91" t="s">
        <x:v>719</x:v>
      </x:c>
      <x:c r="E288" s="91" t="s">
        <x:v>783</x:v>
      </x:c>
      <x:c r="F288" s="91" t="s">
        <x:v>783</x:v>
      </x:c>
    </x:row>
    <x:row r="289" spans="2:6">
      <x:c r="B289" s="89">
        <x:v>375</x:v>
      </x:c>
      <x:c r="C289" s="90" t="s">
        <x:v>1144</x:v>
      </x:c>
      <x:c r="D289" s="88" t="s">
        <x:v>1050</x:v>
      </x:c>
      <x:c r="E289" s="180" t="s">
        <x:v>1301</x:v>
      </x:c>
      <x:c r="F289" s="180" t="s">
        <x:v>1301</x:v>
      </x:c>
    </x:row>
    <x:row r="290" spans="2:6">
      <x:c r="B290" s="89">
        <x:v>376</x:v>
      </x:c>
      <x:c r="D290" s="91" t="s">
        <x:v>55</x:v>
      </x:c>
      <x:c r="E290" s="91" t="s">
        <x:v>511</x:v>
      </x:c>
      <x:c r="F290" s="91" t="s">
        <x:v>511</x:v>
      </x:c>
    </x:row>
    <x:row r="291" spans="2:6">
      <x:c r="B291" s="89">
        <x:v>377</x:v>
      </x:c>
      <x:c r="D291" s="91" t="s">
        <x:v>178</x:v>
      </x:c>
      <x:c r="E291" s="91" t="s">
        <x:v>989</x:v>
      </x:c>
      <x:c r="F291" s="91" t="s">
        <x:v>989</x:v>
      </x:c>
    </x:row>
    <x:row r="292" spans="2:6">
      <x:c r="B292" s="89">
        <x:v>378</x:v>
      </x:c>
      <x:c r="C292" s="90" t="s">
        <x:v>1296</x:v>
      </x:c>
      <x:c r="D292" s="91" t="s">
        <x:v>815</x:v>
      </x:c>
      <x:c r="E292" s="91" t="s">
        <x:v>803</x:v>
      </x:c>
      <x:c r="F292" s="91" t="s">
        <x:v>803</x:v>
      </x:c>
    </x:row>
    <x:row r="293" spans="2:6">
      <x:c r="B293" s="89">
        <x:v>379</x:v>
      </x:c>
      <x:c r="D293" s="91" t="s">
        <x:v>1246</x:v>
      </x:c>
      <x:c r="E293" s="91" t="s">
        <x:v>777</x:v>
      </x:c>
      <x:c r="F293" s="91" t="s">
        <x:v>777</x:v>
      </x:c>
    </x:row>
    <x:row r="294" spans="2:6">
      <x:c r="B294" s="89">
        <x:v>380</x:v>
      </x:c>
      <x:c r="D294" s="91" t="s">
        <x:v>604</x:v>
      </x:c>
      <x:c r="E294" s="91" t="s">
        <x:v>1494</x:v>
      </x:c>
      <x:c r="F294" s="91" t="s">
        <x:v>1494</x:v>
      </x:c>
    </x:row>
    <x:row r="295" spans="2:6">
      <x:c r="B295" s="89">
        <x:v>381</x:v>
      </x:c>
      <x:c r="D295" s="91" t="s">
        <x:v>1427</x:v>
      </x:c>
      <x:c r="E295" s="91" t="s">
        <x:v>633</x:v>
      </x:c>
      <x:c r="F295" s="91" t="s">
        <x:v>633</x:v>
      </x:c>
    </x:row>
    <x:row r="296" spans="2:6">
      <x:c r="B296" s="89">
        <x:v>382</x:v>
      </x:c>
      <x:c r="D296" s="91" t="s">
        <x:v>969</x:v>
      </x:c>
      <x:c r="E296" s="91" t="s">
        <x:v>1312</x:v>
      </x:c>
      <x:c r="F296" s="91" t="s">
        <x:v>1312</x:v>
      </x:c>
    </x:row>
    <x:row r="297" spans="2:6">
      <x:c r="B297" s="89">
        <x:v>383</x:v>
      </x:c>
      <x:c r="D297" s="91" t="s">
        <x:v>713</x:v>
      </x:c>
      <x:c r="E297" s="91" t="s">
        <x:v>1445</x:v>
      </x:c>
      <x:c r="F297" s="91" t="s">
        <x:v>1445</x:v>
      </x:c>
    </x:row>
    <x:row r="298" spans="2:6">
      <x:c r="B298" s="89">
        <x:v>384</x:v>
      </x:c>
      <x:c r="D298" s="91" t="s">
        <x:v>996</x:v>
      </x:c>
      <x:c r="E298" s="91" t="s">
        <x:v>1043</x:v>
      </x:c>
      <x:c r="F298" s="91" t="s">
        <x:v>1043</x:v>
      </x:c>
    </x:row>
    <x:row r="299" spans="2:6" ht="24">
      <x:c r="B299" s="89">
        <x:v>385</x:v>
      </x:c>
      <x:c r="D299" s="91" t="s">
        <x:v>109</x:v>
      </x:c>
      <x:c r="E299" s="91" t="s">
        <x:v>1405</x:v>
      </x:c>
      <x:c r="F299" s="91" t="s">
        <x:v>1405</x:v>
      </x:c>
    </x:row>
    <x:row r="300" spans="2:6">
      <x:c r="B300" s="89">
        <x:v>386</x:v>
      </x:c>
      <x:c r="D300" s="91" t="s">
        <x:v>451</x:v>
      </x:c>
      <x:c r="E300" s="91" t="s">
        <x:v>840</x:v>
      </x:c>
      <x:c r="F300" s="91" t="s">
        <x:v>840</x:v>
      </x:c>
    </x:row>
    <x:row r="301" spans="2:6" ht="24">
      <x:c r="B301" s="89">
        <x:v>387</x:v>
      </x:c>
      <x:c r="D301" s="91" t="s">
        <x:v>115</x:v>
      </x:c>
      <x:c r="E301" s="91" t="s">
        <x:v>234</x:v>
      </x:c>
      <x:c r="F301" s="91" t="s">
        <x:v>234</x:v>
      </x:c>
    </x:row>
    <x:row r="302" spans="2:6">
      <x:c r="B302" s="89">
        <x:v>388</x:v>
      </x:c>
      <x:c r="D302" s="91" t="s">
        <x:v>525</x:v>
      </x:c>
      <x:c r="E302" s="91" t="s">
        <x:v>1213</x:v>
      </x:c>
      <x:c r="F302" s="91" t="s">
        <x:v>1213</x:v>
      </x:c>
    </x:row>
    <x:row r="303" spans="2:6">
      <x:c r="B303" s="89">
        <x:v>389</x:v>
      </x:c>
      <x:c r="D303" s="91" t="s">
        <x:v>141</x:v>
      </x:c>
      <x:c r="E303" s="91" t="s">
        <x:v>605</x:v>
      </x:c>
      <x:c r="F303" s="91" t="s">
        <x:v>605</x:v>
      </x:c>
    </x:row>
    <x:row r="304" spans="2:6">
      <x:c r="B304" s="89">
        <x:v>390</x:v>
      </x:c>
      <x:c r="D304" s="91" t="s">
        <x:v>1101</x:v>
      </x:c>
      <x:c r="E304" s="91" t="s">
        <x:v>778</x:v>
      </x:c>
      <x:c r="F304" s="91" t="s">
        <x:v>778</x:v>
      </x:c>
    </x:row>
    <x:row r="305" spans="2:6">
      <x:c r="B305" s="89">
        <x:v>391</x:v>
      </x:c>
      <x:c r="D305" s="91" t="s">
        <x:v>508</x:v>
      </x:c>
      <x:c r="E305" s="91" t="s">
        <x:v>1212</x:v>
      </x:c>
      <x:c r="F305" s="91" t="s">
        <x:v>1212</x:v>
      </x:c>
    </x:row>
    <x:row r="306" spans="2:6">
      <x:c r="B306" s="89">
        <x:v>392</x:v>
      </x:c>
      <x:c r="D306" s="91" t="s">
        <x:v>731</x:v>
      </x:c>
      <x:c r="E306" s="91" t="s">
        <x:v>1495</x:v>
      </x:c>
      <x:c r="F306" s="91" t="s">
        <x:v>1495</x:v>
      </x:c>
    </x:row>
    <x:row r="307" spans="2:6">
      <x:c r="B307" s="89">
        <x:v>393</x:v>
      </x:c>
      <x:c r="D307" s="91" t="s">
        <x:v>1248</x:v>
      </x:c>
      <x:c r="E307" s="91" t="s">
        <x:v>794</x:v>
      </x:c>
      <x:c r="F307" s="91" t="s">
        <x:v>794</x:v>
      </x:c>
    </x:row>
    <x:row r="308" spans="2:6">
      <x:c r="B308" s="89">
        <x:v>394</x:v>
      </x:c>
      <x:c r="D308" s="91" t="s">
        <x:v>1243</x:v>
      </x:c>
      <x:c r="E308" s="91" t="s">
        <x:v>785</x:v>
      </x:c>
      <x:c r="F308" s="91" t="s">
        <x:v>785</x:v>
      </x:c>
    </x:row>
    <x:row r="309" spans="2:6">
      <x:c r="B309" s="89">
        <x:v>395</x:v>
      </x:c>
      <x:c r="D309" s="91" t="s">
        <x:v>376</x:v>
      </x:c>
      <x:c r="E309" s="91" t="s">
        <x:v>779</x:v>
      </x:c>
      <x:c r="F309" s="91" t="s">
        <x:v>779</x:v>
      </x:c>
    </x:row>
    <x:row r="310" spans="2:6">
      <x:c r="B310" s="89">
        <x:v>396</x:v>
      </x:c>
      <x:c r="D310" s="91" t="s">
        <x:v>344</x:v>
      </x:c>
      <x:c r="E310" s="91" t="s">
        <x:v>780</x:v>
      </x:c>
      <x:c r="F310" s="91" t="s">
        <x:v>780</x:v>
      </x:c>
    </x:row>
    <x:row r="311" spans="2:6">
      <x:c r="B311" s="89">
        <x:v>397</x:v>
      </x:c>
      <x:c r="C311" s="90" t="s">
        <x:v>1280</x:v>
      </x:c>
      <x:c r="D311" s="91" t="s">
        <x:v>712</x:v>
      </x:c>
      <x:c r="E311" s="91" t="s">
        <x:v>1443</x:v>
      </x:c>
      <x:c r="F311" s="91" t="s">
        <x:v>1443</x:v>
      </x:c>
    </x:row>
    <x:row r="312" spans="2:6">
      <x:c r="B312" s="89">
        <x:v>398</x:v>
      </x:c>
      <x:c r="C312" s="90" t="s">
        <x:v>1144</x:v>
      </x:c>
      <x:c r="D312" s="88" t="s">
        <x:v>622</x:v>
      </x:c>
      <x:c r="E312" s="180" t="s">
        <x:v>797</x:v>
      </x:c>
      <x:c r="F312" s="180" t="s">
        <x:v>797</x:v>
      </x:c>
    </x:row>
    <x:row r="313" spans="2:6">
      <x:c r="B313" s="89">
        <x:v>399</x:v>
      </x:c>
      <x:c r="D313" s="91" t="s">
        <x:v>137</x:v>
      </x:c>
      <x:c r="E313" s="91" t="s">
        <x:v>1267</x:v>
      </x:c>
      <x:c r="F313" s="91" t="s">
        <x:v>1267</x:v>
      </x:c>
    </x:row>
    <x:row r="314" spans="2:6">
      <x:c r="B314" s="89">
        <x:v>400</x:v>
      </x:c>
      <x:c r="D314" s="91" t="s">
        <x:v>175</x:v>
      </x:c>
      <x:c r="E314" s="91" t="s">
        <x:v>130</x:v>
      </x:c>
      <x:c r="F314" s="91" t="s">
        <x:v>130</x:v>
      </x:c>
    </x:row>
    <x:row r="315" spans="2:6">
      <x:c r="B315" s="89">
        <x:v>401</x:v>
      </x:c>
      <x:c r="D315" s="91" t="s">
        <x:v>564</x:v>
      </x:c>
      <x:c r="E315" s="91" t="s">
        <x:v>1211</x:v>
      </x:c>
      <x:c r="F315" s="91" t="s">
        <x:v>1211</x:v>
      </x:c>
    </x:row>
    <x:row r="316" spans="2:6">
      <x:c r="B316" s="89">
        <x:v>402</x:v>
      </x:c>
      <x:c r="D316" s="91" t="s">
        <x:v>569</x:v>
      </x:c>
      <x:c r="E316" s="91" t="s">
        <x:v>796</x:v>
      </x:c>
      <x:c r="F316" s="91" t="s">
        <x:v>796</x:v>
      </x:c>
    </x:row>
    <x:row r="317" spans="2:6">
      <x:c r="B317" s="89">
        <x:v>403</x:v>
      </x:c>
      <x:c r="C317" s="90" t="s">
        <x:v>1144</x:v>
      </x:c>
      <x:c r="D317" s="88" t="s">
        <x:v>1158</x:v>
      </x:c>
      <x:c r="E317" s="180" t="s">
        <x:v>754</x:v>
      </x:c>
      <x:c r="F317" s="180" t="s">
        <x:v>754</x:v>
      </x:c>
    </x:row>
    <x:row r="318" spans="2:6">
      <x:c r="B318" s="89">
        <x:v>404</x:v>
      </x:c>
      <x:c r="D318" s="91" t="s">
        <x:v>1126</x:v>
      </x:c>
      <x:c r="E318" s="91" t="s">
        <x:v>797</x:v>
      </x:c>
      <x:c r="F318" s="91" t="s">
        <x:v>797</x:v>
      </x:c>
    </x:row>
    <x:row r="319" spans="2:6">
      <x:c r="B319" s="89">
        <x:v>405</x:v>
      </x:c>
      <x:c r="C319" s="90" t="s">
        <x:v>1144</x:v>
      </x:c>
      <x:c r="D319" s="91" t="s">
        <x:v>1272</x:v>
      </x:c>
      <x:c r="E319" s="180" t="s">
        <x:v>760</x:v>
      </x:c>
      <x:c r="F319" s="180" t="s">
        <x:v>760</x:v>
      </x:c>
    </x:row>
    <x:row r="320" spans="2:6">
      <x:c r="B320" s="89">
        <x:v>406</x:v>
      </x:c>
      <x:c r="D320" s="91" t="s">
        <x:v>553</x:v>
      </x:c>
      <x:c r="E320" s="91" t="s">
        <x:v>1048</x:v>
      </x:c>
      <x:c r="F320" s="91" t="s">
        <x:v>1048</x:v>
      </x:c>
    </x:row>
    <x:row r="321" spans="2:6" ht="36">
      <x:c r="B321" s="89">
        <x:v>407</x:v>
      </x:c>
      <x:c r="D321" s="91" t="s">
        <x:v>1428</x:v>
      </x:c>
      <x:c r="E321" s="91" t="s">
        <x:v>465</x:v>
      </x:c>
      <x:c r="F321" s="91" t="s">
        <x:v>465</x:v>
      </x:c>
    </x:row>
    <x:row r="322" spans="2:6">
      <x:c r="B322" s="89">
        <x:v>408</x:v>
      </x:c>
      <x:c r="D322" s="91" t="s">
        <x:v>1096</x:v>
      </x:c>
      <x:c r="E322" s="91" t="s">
        <x:v>1314</x:v>
      </x:c>
      <x:c r="F322" s="91" t="s">
        <x:v>1314</x:v>
      </x:c>
    </x:row>
    <x:row r="323" spans="2:6">
      <x:c r="B323" s="89">
        <x:v>409</x:v>
      </x:c>
      <x:c r="D323" s="91" t="s">
        <x:v>1401</x:v>
      </x:c>
      <x:c r="E323" s="91" t="s">
        <x:v>1046</x:v>
      </x:c>
      <x:c r="F323" s="91" t="s">
        <x:v>1046</x:v>
      </x:c>
    </x:row>
    <x:row r="324" spans="2:6" ht="24">
      <x:c r="B324" s="89">
        <x:v>410</x:v>
      </x:c>
      <x:c r="D324" s="91" t="s">
        <x:v>364</x:v>
      </x:c>
      <x:c r="E324" s="91" t="s">
        <x:v>312</x:v>
      </x:c>
      <x:c r="F324" s="91" t="s">
        <x:v>312</x:v>
      </x:c>
    </x:row>
    <x:row r="325" spans="2:6">
      <x:c r="B325" s="89">
        <x:v>411</x:v>
      </x:c>
      <x:c r="D325" s="91" t="s">
        <x:v>535</x:v>
      </x:c>
      <x:c r="E325" s="91" t="s">
        <x:v>396</x:v>
      </x:c>
      <x:c r="F325" s="91" t="s">
        <x:v>396</x:v>
      </x:c>
    </x:row>
    <x:row r="326" spans="2:6">
      <x:c r="B326" s="89">
        <x:v>412</x:v>
      </x:c>
      <x:c r="D326" s="91" t="s">
        <x:v>544</x:v>
      </x:c>
      <x:c r="E326" s="91" t="s">
        <x:v>1346</x:v>
      </x:c>
      <x:c r="F326" s="91" t="s">
        <x:v>1346</x:v>
      </x:c>
    </x:row>
    <x:row r="327" spans="1:6">
      <x:c r="A327" s="177"/>
      <x:c r="B327" s="89">
        <x:v>413</x:v>
      </x:c>
      <x:c r="C327" s="178" t="s">
        <x:v>1142</x:v>
      </x:c>
      <x:c r="D327" s="176" t="s">
        <x:v>606</x:v>
      </x:c>
      <x:c r="E327" s="176" t="s">
        <x:v>1443</x:v>
      </x:c>
      <x:c r="F327" s="176" t="s">
        <x:v>1443</x:v>
      </x:c>
    </x:row>
    <x:row r="328" spans="1:6">
      <x:c r="A328" s="177"/>
      <x:c r="B328" s="89">
        <x:v>414</x:v>
      </x:c>
      <x:c r="C328" s="178" t="s">
        <x:v>1142</x:v>
      </x:c>
      <x:c r="D328" s="176" t="s">
        <x:v>1129</x:v>
      </x:c>
      <x:c r="E328" s="176" t="s">
        <x:v>793</x:v>
      </x:c>
      <x:c r="F328" s="176" t="s">
        <x:v>793</x:v>
      </x:c>
    </x:row>
    <x:row r="329" spans="1:6">
      <x:c r="A329" s="177"/>
      <x:c r="B329" s="89">
        <x:v>415</x:v>
      </x:c>
      <x:c r="C329" s="178" t="s">
        <x:v>1142</x:v>
      </x:c>
      <x:c r="D329" s="176" t="s">
        <x:v>1284</x:v>
      </x:c>
      <x:c r="E329" s="176" t="s">
        <x:v>771</x:v>
      </x:c>
      <x:c r="F329" s="176" t="s">
        <x:v>771</x:v>
      </x:c>
    </x:row>
    <x:row r="330" spans="2:6">
      <x:c r="B330" s="89">
        <x:v>416</x:v>
      </x:c>
      <x:c r="D330" s="91" t="s">
        <x:v>595</x:v>
      </x:c>
      <x:c r="E330" s="91" t="s">
        <x:v>1443</x:v>
      </x:c>
      <x:c r="F330" s="91" t="s">
        <x:v>1443</x:v>
      </x:c>
    </x:row>
    <x:row r="331" spans="2:6">
      <x:c r="B331" s="89">
        <x:v>417</x:v>
      </x:c>
      <x:c r="D331" s="91" t="s">
        <x:v>1099</x:v>
      </x:c>
      <x:c r="E331" s="176" t="s">
        <x:v>784</x:v>
      </x:c>
      <x:c r="F331" s="176" t="s">
        <x:v>784</x:v>
      </x:c>
    </x:row>
    <x:row r="332" spans="2:6">
      <x:c r="B332" s="89">
        <x:v>418</x:v>
      </x:c>
      <x:c r="D332" s="91" t="s">
        <x:v>1235</x:v>
      </x:c>
      <x:c r="E332" s="91" t="s">
        <x:v>788</x:v>
      </x:c>
      <x:c r="F332" s="91" t="s">
        <x:v>788</x:v>
      </x:c>
    </x:row>
    <x:row r="333" spans="2:6">
      <x:c r="B333" s="89">
        <x:v>419</x:v>
      </x:c>
      <x:c r="D333" s="91" t="s">
        <x:v>36</x:v>
      </x:c>
      <x:c r="E333" s="91" t="s">
        <x:v>1051</x:v>
      </x:c>
      <x:c r="F333" s="91" t="s">
        <x:v>1051</x:v>
      </x:c>
    </x:row>
    <x:row r="334" spans="2:6">
      <x:c r="B334" s="89">
        <x:v>420</x:v>
      </x:c>
      <x:c r="D334" s="91" t="s">
        <x:v>573</x:v>
      </x:c>
      <x:c r="E334" s="91" t="s">
        <x:v>1322</x:v>
      </x:c>
      <x:c r="F334" s="91" t="s">
        <x:v>1322</x:v>
      </x:c>
    </x:row>
    <x:row r="335" spans="2:6">
      <x:c r="B335" s="89">
        <x:v>421</x:v>
      </x:c>
      <x:c r="D335" s="91" t="s">
        <x:v>303</x:v>
      </x:c>
      <x:c r="E335" s="91" t="s">
        <x:v>608</x:v>
      </x:c>
      <x:c r="F335" s="91" t="s">
        <x:v>608</x:v>
      </x:c>
    </x:row>
    <x:row r="336" spans="2:6">
      <x:c r="B336" s="89">
        <x:v>422</x:v>
      </x:c>
      <x:c r="D336" s="91" t="s">
        <x:v>157</x:v>
      </x:c>
      <x:c r="E336" s="91" t="s">
        <x:v>1041</x:v>
      </x:c>
      <x:c r="F336" s="91" t="s">
        <x:v>1041</x:v>
      </x:c>
    </x:row>
    <x:row r="337" spans="2:6">
      <x:c r="B337" s="89">
        <x:v>423</x:v>
      </x:c>
      <x:c r="D337" s="91" t="s">
        <x:v>159</x:v>
      </x:c>
      <x:c r="E337" s="91" t="s">
        <x:v>466</x:v>
      </x:c>
      <x:c r="F337" s="91" t="s">
        <x:v>466</x:v>
      </x:c>
    </x:row>
    <x:row r="338" spans="2:6">
      <x:c r="B338" s="89">
        <x:v>424</x:v>
      </x:c>
      <x:c r="D338" s="91" t="s">
        <x:v>352</x:v>
      </x:c>
      <x:c r="E338" s="91" t="s">
        <x:v>515</x:v>
      </x:c>
      <x:c r="F338" s="91" t="s">
        <x:v>515</x:v>
      </x:c>
    </x:row>
    <x:row r="339" spans="2:6">
      <x:c r="B339" s="89">
        <x:v>425</x:v>
      </x:c>
      <x:c r="D339" s="91" t="s">
        <x:v>345</x:v>
      </x:c>
      <x:c r="E339" s="91" t="s">
        <x:v>789</x:v>
      </x:c>
      <x:c r="F339" s="91" t="s">
        <x:v>789</x:v>
      </x:c>
    </x:row>
    <x:row r="340" spans="2:6">
      <x:c r="B340" s="89">
        <x:v>426</x:v>
      </x:c>
      <x:c r="D340" s="91" t="s">
        <x:v>1256</x:v>
      </x:c>
      <x:c r="E340" s="91" t="s">
        <x:v>772</x:v>
      </x:c>
      <x:c r="F340" s="91" t="s">
        <x:v>772</x:v>
      </x:c>
    </x:row>
    <x:row r="341" spans="2:6">
      <x:c r="B341" s="89">
        <x:v>427</x:v>
      </x:c>
      <x:c r="D341" s="91" t="s">
        <x:v>1257</x:v>
      </x:c>
      <x:c r="E341" s="91" t="s">
        <x:v>769</x:v>
      </x:c>
      <x:c r="F341" s="91" t="s">
        <x:v>769</x:v>
      </x:c>
    </x:row>
    <x:row r="342" spans="2:6">
      <x:c r="B342" s="89">
        <x:v>428</x:v>
      </x:c>
      <x:c r="D342" s="91" t="s">
        <x:v>1232</x:v>
      </x:c>
      <x:c r="E342" s="91" t="s">
        <x:v>1217</x:v>
      </x:c>
      <x:c r="F342" s="91" t="s">
        <x:v>1217</x:v>
      </x:c>
    </x:row>
    <x:row r="343" spans="2:6">
      <x:c r="B343" s="89">
        <x:v>429</x:v>
      </x:c>
      <x:c r="D343" s="91" t="s">
        <x:v>346</x:v>
      </x:c>
      <x:c r="E343" s="91" t="s">
        <x:v>1492</x:v>
      </x:c>
      <x:c r="F343" s="91" t="s">
        <x:v>1492</x:v>
      </x:c>
    </x:row>
    <x:row r="344" spans="2:6">
      <x:c r="B344" s="89">
        <x:v>430</x:v>
      </x:c>
      <x:c r="D344" s="91" t="s">
        <x:v>1053</x:v>
      </x:c>
      <x:c r="E344" s="91" t="s">
        <x:v>800</x:v>
      </x:c>
      <x:c r="F344" s="91" t="s">
        <x:v>800</x:v>
      </x:c>
    </x:row>
    <x:row r="345" spans="2:6">
      <x:c r="B345" s="89">
        <x:v>431</x:v>
      </x:c>
      <x:c r="D345" s="91" t="s">
        <x:v>1057</x:v>
      </x:c>
      <x:c r="E345" s="91" t="s">
        <x:v>823</x:v>
      </x:c>
      <x:c r="F345" s="91" t="s">
        <x:v>823</x:v>
      </x:c>
    </x:row>
    <x:row r="346" spans="2:6">
      <x:c r="B346" s="89">
        <x:v>432</x:v>
      </x:c>
      <x:c r="D346" s="91" t="s">
        <x:v>588</x:v>
      </x:c>
      <x:c r="E346" s="91" t="s">
        <x:v>1186</x:v>
      </x:c>
      <x:c r="F346" s="91" t="s">
        <x:v>1186</x:v>
      </x:c>
    </x:row>
    <x:row r="347" spans="2:6">
      <x:c r="B347" s="89">
        <x:v>433</x:v>
      </x:c>
      <x:c r="D347" s="91" t="s">
        <x:v>598</x:v>
      </x:c>
      <x:c r="E347" s="91" t="s">
        <x:v>1216</x:v>
      </x:c>
      <x:c r="F347" s="91" t="s">
        <x:v>1216</x:v>
      </x:c>
    </x:row>
    <x:row r="348" spans="2:6">
      <x:c r="B348" s="89">
        <x:v>434</x:v>
      </x:c>
      <x:c r="D348" s="91" t="s">
        <x:v>1097</x:v>
      </x:c>
      <x:c r="E348" s="91" t="s">
        <x:v>790</x:v>
      </x:c>
      <x:c r="F348" s="91" t="s">
        <x:v>790</x:v>
      </x:c>
    </x:row>
    <x:row r="349" spans="2:6">
      <x:c r="B349" s="89">
        <x:v>435</x:v>
      </x:c>
      <x:c r="D349" s="91" t="s">
        <x:v>1247</x:v>
      </x:c>
      <x:c r="E349" s="91" t="s">
        <x:v>766</x:v>
      </x:c>
      <x:c r="F349" s="91" t="s">
        <x:v>766</x:v>
      </x:c>
    </x:row>
    <x:row r="350" spans="2:6">
      <x:c r="B350" s="89">
        <x:v>436</x:v>
      </x:c>
      <x:c r="D350" s="91" t="s">
        <x:v>299</x:v>
      </x:c>
      <x:c r="E350" s="91" t="s">
        <x:v>645</x:v>
      </x:c>
      <x:c r="F350" s="91" t="s">
        <x:v>645</x:v>
      </x:c>
    </x:row>
    <x:row r="351" spans="2:6">
      <x:c r="B351" s="89">
        <x:v>437</x:v>
      </x:c>
      <x:c r="D351" s="91" t="s">
        <x:v>256</x:v>
      </x:c>
      <x:c r="E351" s="91" t="s">
        <x:v>536</x:v>
      </x:c>
      <x:c r="F351" s="91" t="s">
        <x:v>536</x:v>
      </x:c>
    </x:row>
    <x:row r="352" spans="2:6">
      <x:c r="B352" s="89">
        <x:v>438</x:v>
      </x:c>
      <x:c r="D352" s="91" t="s">
        <x:v>477</x:v>
      </x:c>
      <x:c r="E352" s="91" t="s">
        <x:v>1336</x:v>
      </x:c>
      <x:c r="F352" s="91" t="s">
        <x:v>1336</x:v>
      </x:c>
    </x:row>
    <x:row r="353" spans="2:6">
      <x:c r="B353" s="89">
        <x:v>439</x:v>
      </x:c>
      <x:c r="D353" s="91" t="s">
        <x:v>527</x:v>
      </x:c>
      <x:c r="E353" s="91" t="s">
        <x:v>1345</x:v>
      </x:c>
      <x:c r="F353" s="91" t="s">
        <x:v>1345</x:v>
      </x:c>
    </x:row>
    <x:row r="354" spans="2:6">
      <x:c r="B354" s="89">
        <x:v>440</x:v>
      </x:c>
      <x:c r="D354" s="91" t="s">
        <x:v>1156</x:v>
      </x:c>
      <x:c r="E354" s="91" t="s">
        <x:v>1156</x:v>
      </x:c>
      <x:c r="F354" s="91" t="s">
        <x:v>1156</x:v>
      </x:c>
    </x:row>
    <x:row r="355" spans="2:6" ht="24">
      <x:c r="B355" s="89">
        <x:v>441</x:v>
      </x:c>
      <x:c r="C355" s="90" t="s">
        <x:v>1328</x:v>
      </x:c>
      <x:c r="D355" s="91" t="s">
        <x:v>677</x:v>
      </x:c>
      <x:c r="E355" s="91" t="s">
        <x:v>233</x:v>
      </x:c>
      <x:c r="F355" s="91" t="s">
        <x:v>233</x:v>
      </x:c>
    </x:row>
    <x:row r="356" spans="2:6">
      <x:c r="B356" s="89">
        <x:v>442</x:v>
      </x:c>
      <x:c r="D356" s="91" t="s">
        <x:v>847</x:v>
      </x:c>
      <x:c r="E356" s="91" t="s">
        <x:v>1528</x:v>
      </x:c>
      <x:c r="F356" s="91" t="s">
        <x:v>1528</x:v>
      </x:c>
    </x:row>
    <x:row r="357" spans="2:6">
      <x:c r="B357" s="89">
        <x:v>443</x:v>
      </x:c>
      <x:c r="C357" s="90" t="s">
        <x:v>1144</x:v>
      </x:c>
      <x:c r="D357" s="91" t="s">
        <x:v>1013</x:v>
      </x:c>
      <x:c r="E357" s="91" t="s">
        <x:v>1052</x:v>
      </x:c>
      <x:c r="F357" s="91" t="s">
        <x:v>1052</x:v>
      </x:c>
    </x:row>
    <x:row r="358" spans="2:6">
      <x:c r="B358" s="89">
        <x:v>444</x:v>
      </x:c>
      <x:c r="D358" s="91" t="s">
        <x:v>1258</x:v>
      </x:c>
      <x:c r="E358" s="91" t="s">
        <x:v>805</x:v>
      </x:c>
      <x:c r="F358" s="91" t="s">
        <x:v>805</x:v>
      </x:c>
    </x:row>
    <x:row r="359" spans="2:6" ht="24">
      <x:c r="B359" s="89">
        <x:v>445</x:v>
      </x:c>
      <x:c r="D359" s="91" t="s">
        <x:v>199</x:v>
      </x:c>
      <x:c r="E359" s="91" t="s">
        <x:v>315</x:v>
      </x:c>
      <x:c r="F359" s="91" t="s">
        <x:v>315</x:v>
      </x:c>
    </x:row>
    <x:row r="360" spans="2:6">
      <x:c r="B360" s="89">
        <x:v>446</x:v>
      </x:c>
      <x:c r="D360" s="91" t="s">
        <x:v>1233</x:v>
      </x:c>
      <x:c r="E360" s="91" t="s">
        <x:v>791</x:v>
      </x:c>
      <x:c r="F360" s="91" t="s">
        <x:v>791</x:v>
      </x:c>
    </x:row>
    <x:row r="361" spans="2:6">
      <x:c r="B361" s="89">
        <x:v>447</x:v>
      </x:c>
      <x:c r="D361" s="91" t="s">
        <x:v>537</x:v>
      </x:c>
      <x:c r="E361" s="91" t="s">
        <x:v>845</x:v>
      </x:c>
      <x:c r="F361" s="91" t="s">
        <x:v>845</x:v>
      </x:c>
    </x:row>
    <x:row r="362" spans="2:6" ht="24">
      <x:c r="B362" s="89">
        <x:v>448</x:v>
      </x:c>
      <x:c r="D362" s="91" t="s">
        <x:v>1234</x:v>
      </x:c>
      <x:c r="E362" s="91" t="s">
        <x:v>258</x:v>
      </x:c>
      <x:c r="F362" s="91" t="s">
        <x:v>258</x:v>
      </x:c>
    </x:row>
    <x:row r="363" spans="2:6">
      <x:c r="B363" s="89">
        <x:v>449</x:v>
      </x:c>
      <x:c r="D363" s="176" t="s">
        <x:v>383</x:v>
      </x:c>
      <x:c r="E363" s="91" t="s">
        <x:v>1447</x:v>
      </x:c>
      <x:c r="F363" s="91" t="s">
        <x:v>1447</x:v>
      </x:c>
    </x:row>
    <x:row r="364" spans="2:6">
      <x:c r="B364" s="89">
        <x:v>450</x:v>
      </x:c>
      <x:c r="D364" s="91" t="s">
        <x:v>1149</x:v>
      </x:c>
      <x:c r="E364" s="91" t="s">
        <x:v>1215</x:v>
      </x:c>
      <x:c r="F364" s="91" t="s">
        <x:v>1215</x:v>
      </x:c>
    </x:row>
    <x:row r="365" spans="2:6">
      <x:c r="B365" s="89">
        <x:v>451</x:v>
      </x:c>
      <x:c r="D365" s="91" t="s">
        <x:v>575</x:v>
      </x:c>
      <x:c r="E365" s="91" t="s">
        <x:v>1326</x:v>
      </x:c>
      <x:c r="F365" s="91" t="s">
        <x:v>1326</x:v>
      </x:c>
    </x:row>
    <x:row r="366" spans="2:6">
      <x:c r="B366" s="89">
        <x:v>452</x:v>
      </x:c>
      <x:c r="D366" s="91" t="s">
        <x:v>128</x:v>
      </x:c>
      <x:c r="E366" s="91" t="s">
        <x:v>655</x:v>
      </x:c>
      <x:c r="F366" s="91" t="s">
        <x:v>655</x:v>
      </x:c>
    </x:row>
    <x:row r="367" spans="2:6">
      <x:c r="B367" s="89">
        <x:v>453</x:v>
      </x:c>
      <x:c r="D367" s="91" t="s">
        <x:v>1432</x:v>
      </x:c>
      <x:c r="E367" s="91" t="s">
        <x:v>1493</x:v>
      </x:c>
      <x:c r="F367" s="91" t="s">
        <x:v>1493</x:v>
      </x:c>
    </x:row>
    <x:row r="368" spans="2:6">
      <x:c r="B368" s="89">
        <x:v>454</x:v>
      </x:c>
      <x:c r="D368" s="91" t="s">
        <x:v>726</x:v>
      </x:c>
      <x:c r="E368" s="91" t="s">
        <x:v>1484</x:v>
      </x:c>
      <x:c r="F368" s="91" t="s">
        <x:v>1484</x:v>
      </x:c>
    </x:row>
    <x:row r="369" spans="2:6">
      <x:c r="B369" s="89">
        <x:v>455</x:v>
      </x:c>
      <x:c r="C369" s="90" t="s">
        <x:v>1328</x:v>
      </x:c>
      <x:c r="D369" s="91" t="s">
        <x:v>1334</x:v>
      </x:c>
      <x:c r="E369" s="91" t="s">
        <x:v>389</x:v>
      </x:c>
      <x:c r="F369" s="91" t="s">
        <x:v>389</x:v>
      </x:c>
    </x:row>
    <x:row r="370" spans="2:6">
      <x:c r="B370" s="89">
        <x:v>456</x:v>
      </x:c>
      <x:c r="D370" s="91" t="s">
        <x:v>551</x:v>
      </x:c>
      <x:c r="E370" s="91" t="s">
        <x:v>389</x:v>
      </x:c>
      <x:c r="F370" s="91" t="s">
        <x:v>389</x:v>
      </x:c>
    </x:row>
    <x:row r="371" spans="2:6">
      <x:c r="B371" s="89">
        <x:v>457</x:v>
      </x:c>
      <x:c r="D371" s="91" t="s">
        <x:v>988</x:v>
      </x:c>
      <x:c r="E371" s="91" t="s">
        <x:v>634</x:v>
      </x:c>
      <x:c r="F371" s="91" t="s">
        <x:v>634</x:v>
      </x:c>
    </x:row>
    <x:row r="372" spans="2:6">
      <x:c r="B372" s="89">
        <x:v>458</x:v>
      </x:c>
      <x:c r="D372" s="91" t="s">
        <x:v>1064</x:v>
      </x:c>
      <x:c r="E372" s="91" t="s">
        <x:v>454</x:v>
      </x:c>
      <x:c r="F372" s="91" t="s">
        <x:v>454</x:v>
      </x:c>
    </x:row>
    <x:row r="373" spans="2:6">
      <x:c r="B373" s="89">
        <x:v>459</x:v>
      </x:c>
      <x:c r="D373" s="91" t="s">
        <x:v>592</x:v>
      </x:c>
      <x:c r="E373" s="91" t="s">
        <x:v>768</x:v>
      </x:c>
      <x:c r="F373" s="91" t="s">
        <x:v>768</x:v>
      </x:c>
    </x:row>
    <x:row r="374" spans="2:6">
      <x:c r="B374" s="89">
        <x:v>460</x:v>
      </x:c>
      <x:c r="D374" s="91" t="s">
        <x:v>38</x:v>
      </x:c>
      <x:c r="F374" s="91"/>
    </x:row>
    <x:row r="375" spans="2:6">
      <x:c r="B375" s="89">
        <x:v>461</x:v>
      </x:c>
      <x:c r="D375" s="91" t="s">
        <x:v>985</x:v>
      </x:c>
      <x:c r="E375" s="91" t="s">
        <x:v>609</x:v>
      </x:c>
      <x:c r="F375" s="91" t="s">
        <x:v>609</x:v>
      </x:c>
    </x:row>
    <x:row r="376" spans="2:6" ht="24">
      <x:c r="B376" s="89">
        <x:v>462</x:v>
      </x:c>
      <x:c r="D376" s="91" t="s">
        <x:v>3</x:v>
      </x:c>
      <x:c r="E376" s="91" t="s">
        <x:v>164</x:v>
      </x:c>
      <x:c r="F376" s="91" t="s">
        <x:v>164</x:v>
      </x:c>
    </x:row>
    <x:row r="377" spans="2:6" ht="24">
      <x:c r="B377" s="89">
        <x:v>463</x:v>
      </x:c>
      <x:c r="D377" s="91" t="s">
        <x:v>289</x:v>
      </x:c>
      <x:c r="E377" s="91" t="s">
        <x:v>1408</x:v>
      </x:c>
      <x:c r="F377" s="91" t="s">
        <x:v>1408</x:v>
      </x:c>
    </x:row>
    <x:row r="378" spans="2:6">
      <x:c r="B378" s="89">
        <x:v>464</x:v>
      </x:c>
      <x:c r="D378" s="91" t="s">
        <x:v>306</x:v>
      </x:c>
      <x:c r="E378" s="91" t="s">
        <x:v>1058</x:v>
      </x:c>
      <x:c r="F378" s="91" t="s">
        <x:v>1058</x:v>
      </x:c>
    </x:row>
    <x:row r="379" spans="2:6">
      <x:c r="B379" s="89">
        <x:v>465</x:v>
      </x:c>
      <x:c r="D379" s="91" t="s">
        <x:v>1416</x:v>
      </x:c>
      <x:c r="E379" s="91" t="s">
        <x:v>1218</x:v>
      </x:c>
      <x:c r="F379" s="91" t="s">
        <x:v>1218</x:v>
      </x:c>
    </x:row>
    <x:row r="380" spans="2:6">
      <x:c r="B380" s="89">
        <x:v>466</x:v>
      </x:c>
      <x:c r="C380" s="90" t="s">
        <x:v>1328</x:v>
      </x:c>
      <x:c r="D380" s="91" t="s">
        <x:v>638</x:v>
      </x:c>
      <x:c r="E380" s="91" t="s">
        <x:v>1061</x:v>
      </x:c>
      <x:c r="F380" s="91" t="s">
        <x:v>1061</x:v>
      </x:c>
    </x:row>
    <x:row r="381" spans="2:6">
      <x:c r="B381" s="89">
        <x:v>467</x:v>
      </x:c>
      <x:c r="C381" s="90" t="s">
        <x:v>1328</x:v>
      </x:c>
      <x:c r="D381" s="91" t="s">
        <x:v>1006</x:v>
      </x:c>
      <x:c r="E381" s="91" t="s">
        <x:v>1329</x:v>
      </x:c>
      <x:c r="F381" s="91" t="s">
        <x:v>1329</x:v>
      </x:c>
    </x:row>
    <x:row r="382" spans="2:6">
      <x:c r="B382" s="89">
        <x:v>468</x:v>
      </x:c>
      <x:c r="D382" s="91" t="s">
        <x:v>347</x:v>
      </x:c>
      <x:c r="E382" s="91" t="s">
        <x:v>1467</x:v>
      </x:c>
      <x:c r="F382" s="91" t="s">
        <x:v>1467</x:v>
      </x:c>
    </x:row>
    <x:row r="383" spans="2:6">
      <x:c r="B383" s="89">
        <x:v>469</x:v>
      </x:c>
      <x:c r="C383" s="90" t="s">
        <x:v>1328</x:v>
      </x:c>
      <x:c r="D383" s="91" t="s">
        <x:v>851</x:v>
      </x:c>
      <x:c r="E383" s="91" t="s">
        <x:v>852</x:v>
      </x:c>
      <x:c r="F383" s="91" t="s">
        <x:v>852</x:v>
      </x:c>
    </x:row>
    <x:row r="384" spans="2:6" ht="24">
      <x:c r="B384" s="89">
        <x:v>470</x:v>
      </x:c>
      <x:c r="C384" s="90" t="s">
        <x:v>1328</x:v>
      </x:c>
      <x:c r="D384" s="91" t="s">
        <x:v>196</x:v>
      </x:c>
      <x:c r="E384" s="91" t="s">
        <x:v>108</x:v>
      </x:c>
      <x:c r="F384" s="91" t="s">
        <x:v>108</x:v>
      </x:c>
    </x:row>
    <x:row r="385" spans="2:6">
      <x:c r="B385" s="89">
        <x:v>471</x:v>
      </x:c>
      <x:c r="C385" s="90" t="s">
        <x:v>1328</x:v>
      </x:c>
      <x:c r="D385" s="91" t="s">
        <x:v>26</x:v>
      </x:c>
      <x:c r="E385" s="91" t="s">
        <x:v>1035</x:v>
      </x:c>
      <x:c r="F385" s="91" t="s">
        <x:v>1035</x:v>
      </x:c>
    </x:row>
    <x:row r="386" spans="2:6">
      <x:c r="B386" s="89">
        <x:v>472</x:v>
      </x:c>
      <x:c r="D386" s="91" t="s">
        <x:v>1237</x:v>
      </x:c>
      <x:c r="E386" s="91" t="s">
        <x:v>792</x:v>
      </x:c>
      <x:c r="F386" s="91" t="s">
        <x:v>792</x:v>
      </x:c>
    </x:row>
    <x:row r="387" spans="2:6">
      <x:c r="B387" s="89">
        <x:v>473</x:v>
      </x:c>
      <x:c r="D387" s="91" t="s">
        <x:v>1240</x:v>
      </x:c>
      <x:c r="E387" s="91" t="s">
        <x:v>767</x:v>
      </x:c>
      <x:c r="F387" s="91" t="s">
        <x:v>767</x:v>
      </x:c>
    </x:row>
    <x:row r="388" spans="2:6" ht="36">
      <x:c r="B388" s="89">
        <x:v>474</x:v>
      </x:c>
      <x:c r="C388" s="90" t="s">
        <x:v>1328</x:v>
      </x:c>
      <x:c r="D388" s="91" t="s">
        <x:v>239</x:v>
      </x:c>
      <x:c r="E388" s="91" t="s">
        <x:v>110</x:v>
      </x:c>
      <x:c r="F388" s="91" t="s">
        <x:v>110</x:v>
      </x:c>
    </x:row>
    <x:row r="389" spans="2:6">
      <x:c r="B389" s="89">
        <x:v>475</x:v>
      </x:c>
      <x:c r="D389" s="91" t="s">
        <x:v>1098</x:v>
      </x:c>
      <x:c r="E389" s="91" t="s">
        <x:v>773</x:v>
      </x:c>
      <x:c r="F389" s="91" t="s">
        <x:v>773</x:v>
      </x:c>
    </x:row>
    <x:row r="390" spans="2:6">
      <x:c r="B390" s="89">
        <x:v>476</x:v>
      </x:c>
      <x:c r="D390" s="91" t="s">
        <x:v>492</x:v>
      </x:c>
      <x:c r="E390" s="91" t="s">
        <x:v>1366</x:v>
      </x:c>
      <x:c r="F390" s="91" t="s">
        <x:v>1366</x:v>
      </x:c>
    </x:row>
    <x:row r="391" spans="2:6">
      <x:c r="B391" s="89">
        <x:v>477</x:v>
      </x:c>
      <x:c r="D391" s="91" t="s">
        <x:v>729</x:v>
      </x:c>
      <x:c r="E391" s="91" t="s">
        <x:v>1438</x:v>
      </x:c>
      <x:c r="F391" s="91" t="s">
        <x:v>1438</x:v>
      </x:c>
    </x:row>
    <x:row r="392" spans="2:6">
      <x:c r="B392" s="89">
        <x:v>478</x:v>
      </x:c>
      <x:c r="D392" s="91" t="s">
        <x:v>348</x:v>
      </x:c>
      <x:c r="E392" s="91" t="s">
        <x:v>770</x:v>
      </x:c>
      <x:c r="F392" s="91" t="s">
        <x:v>770</x:v>
      </x:c>
    </x:row>
    <x:row r="393" spans="2:6">
      <x:c r="B393" s="89">
        <x:v>479</x:v>
      </x:c>
      <x:c r="D393" s="91" t="s">
        <x:v>252</x:v>
      </x:c>
      <x:c r="E393" s="91" t="s">
        <x:v>990</x:v>
      </x:c>
      <x:c r="F393" s="91" t="s">
        <x:v>990</x:v>
      </x:c>
    </x:row>
    <x:row r="394" spans="2:6">
      <x:c r="B394" s="89">
        <x:v>480</x:v>
      </x:c>
      <x:c r="D394" s="91" t="s">
        <x:v>579</x:v>
      </x:c>
      <x:c r="E394" s="91" t="s">
        <x:v>607</x:v>
      </x:c>
      <x:c r="F394" s="91" t="s">
        <x:v>607</x:v>
      </x:c>
    </x:row>
    <x:row r="395" spans="2:6" ht="24">
      <x:c r="B395" s="89">
        <x:v>481</x:v>
      </x:c>
      <x:c r="D395" s="91" t="s">
        <x:v>357</x:v>
      </x:c>
      <x:c r="E395" s="91" t="s">
        <x:v>313</x:v>
      </x:c>
      <x:c r="F395" s="91" t="s">
        <x:v>313</x:v>
      </x:c>
    </x:row>
    <x:row r="396" spans="2:6">
      <x:c r="B396" s="89">
        <x:v>482</x:v>
      </x:c>
      <x:c r="D396" s="91" t="s">
        <x:v>1059</x:v>
      </x:c>
      <x:c r="E396" s="91" t="s">
        <x:v>1365</x:v>
      </x:c>
      <x:c r="F396" s="91" t="s">
        <x:v>1365</x:v>
      </x:c>
    </x:row>
    <x:row r="397" spans="2:6">
      <x:c r="B397" s="89">
        <x:v>483</x:v>
      </x:c>
      <x:c r="D397" s="91" t="s">
        <x:v>490</x:v>
      </x:c>
      <x:c r="E397" s="91" t="s">
        <x:v>456</x:v>
      </x:c>
      <x:c r="F397" s="91" t="s">
        <x:v>456</x:v>
      </x:c>
    </x:row>
    <x:row r="398" spans="2:6">
      <x:c r="B398" s="89">
        <x:v>484</x:v>
      </x:c>
      <x:c r="D398" s="91" t="s">
        <x:v>532</x:v>
      </x:c>
      <x:c r="E398" s="91" t="s">
        <x:v>449</x:v>
      </x:c>
      <x:c r="F398" s="91" t="s">
        <x:v>449</x:v>
      </x:c>
    </x:row>
    <x:row r="399" spans="2:6">
      <x:c r="B399" s="89">
        <x:v>485</x:v>
      </x:c>
      <x:c r="D399" s="91" t="s">
        <x:v>1239</x:v>
      </x:c>
      <x:c r="E399" s="91" t="s">
        <x:v>811</x:v>
      </x:c>
      <x:c r="F399" s="91" t="s">
        <x:v>811</x:v>
      </x:c>
    </x:row>
    <x:row r="400" spans="2:6">
      <x:c r="B400" s="89">
        <x:v>486</x:v>
      </x:c>
      <x:c r="C400" s="90" t="s">
        <x:v>1144</x:v>
      </x:c>
      <x:c r="D400" s="91" t="s">
        <x:v>660</x:v>
      </x:c>
      <x:c r="E400" s="91" t="s">
        <x:v>637</x:v>
      </x:c>
      <x:c r="F400" s="91" t="s">
        <x:v>637</x:v>
      </x:c>
    </x:row>
    <x:row r="401" spans="2:6">
      <x:c r="B401" s="89">
        <x:v>487</x:v>
      </x:c>
      <x:c r="D401" s="91" t="s">
        <x:v>1434</x:v>
      </x:c>
      <x:c r="E401" s="91" t="s">
        <x:v>1475</x:v>
      </x:c>
      <x:c r="F401" s="91" t="s">
        <x:v>1475</x:v>
      </x:c>
    </x:row>
    <x:row r="402" spans="2:6">
      <x:c r="B402" s="89">
        <x:v>488</x:v>
      </x:c>
      <x:c r="C402" s="90" t="s">
        <x:v>1296</x:v>
      </x:c>
      <x:c r="D402" s="91" t="s">
        <x:v>1181</x:v>
      </x:c>
      <x:c r="E402" s="91" t="s">
        <x:v>827</x:v>
      </x:c>
      <x:c r="F402" s="91" t="s">
        <x:v>827</x:v>
      </x:c>
    </x:row>
    <x:row r="403" spans="2:6">
      <x:c r="B403" s="89">
        <x:v>489</x:v>
      </x:c>
      <x:c r="C403" s="90" t="s">
        <x:v>1296</x:v>
      </x:c>
      <x:c r="D403" s="91" t="s">
        <x:v>1180</x:v>
      </x:c>
      <x:c r="E403" s="91" t="s">
        <x:v>814</x:v>
      </x:c>
      <x:c r="F403" s="91" t="s">
        <x:v>814</x:v>
      </x:c>
    </x:row>
    <x:row r="404" spans="2:6">
      <x:c r="B404" s="89">
        <x:v>490</x:v>
      </x:c>
      <x:c r="D404" s="91" t="s">
        <x:v>702</x:v>
      </x:c>
      <x:c r="E404" s="91" t="s">
        <x:v>1441</x:v>
      </x:c>
      <x:c r="F404" s="91" t="s">
        <x:v>1441</x:v>
      </x:c>
    </x:row>
    <x:row r="405" spans="2:6">
      <x:c r="B405" s="89">
        <x:v>491</x:v>
      </x:c>
      <x:c r="D405" s="91" t="s">
        <x:v>275</x:v>
      </x:c>
      <x:c r="E405" s="91" t="s">
        <x:v>468</x:v>
      </x:c>
      <x:c r="F405" s="91" t="s">
        <x:v>468</x:v>
      </x:c>
    </x:row>
    <x:row r="406" spans="2:6">
      <x:c r="B406" s="89">
        <x:v>492</x:v>
      </x:c>
      <x:c r="C406" s="90" t="s">
        <x:v>1328</x:v>
      </x:c>
      <x:c r="D406" s="91" t="s">
        <x:v>494</x:v>
      </x:c>
      <x:c r="E406" s="91" t="s">
        <x:v>1342</x:v>
      </x:c>
      <x:c r="F406" s="91" t="s">
        <x:v>1342</x:v>
      </x:c>
    </x:row>
    <x:row r="407" spans="2:6">
      <x:c r="B407" s="89">
        <x:v>493</x:v>
      </x:c>
      <x:c r="D407" s="91" t="s">
        <x:v>349</x:v>
      </x:c>
      <x:c r="E407" s="91" t="s">
        <x:v>1471</x:v>
      </x:c>
      <x:c r="F407" s="91" t="s">
        <x:v>1471</x:v>
      </x:c>
    </x:row>
    <x:row r="408" spans="2:6" ht="48">
      <x:c r="B408" s="89">
        <x:v>494</x:v>
      </x:c>
      <x:c r="D408" s="91" t="s">
        <x:v>228</x:v>
      </x:c>
      <x:c r="E408" s="91" t="s">
        <x:v>210</x:v>
      </x:c>
      <x:c r="F408" s="91" t="s">
        <x:v>210</x:v>
      </x:c>
    </x:row>
    <x:row r="409" spans="2:6">
      <x:c r="B409" s="89">
        <x:v>495</x:v>
      </x:c>
      <x:c r="D409" s="91" t="s">
        <x:v>981</x:v>
      </x:c>
      <x:c r="E409" s="91" t="s">
        <x:v>467</x:v>
      </x:c>
      <x:c r="F409" s="91" t="s">
        <x:v>467</x:v>
      </x:c>
    </x:row>
    <x:row r="410" spans="2:6" ht="24">
      <x:c r="B410" s="89">
        <x:v>496</x:v>
      </x:c>
      <x:c r="D410" s="91" t="s">
        <x:v>4</x:v>
      </x:c>
      <x:c r="E410" s="91" t="s">
        <x:v>991</x:v>
      </x:c>
      <x:c r="F410" s="91" t="s">
        <x:v>991</x:v>
      </x:c>
    </x:row>
    <x:row r="411" spans="2:6" ht="24">
      <x:c r="B411" s="89">
        <x:v>497</x:v>
      </x:c>
      <x:c r="D411" s="91" t="s">
        <x:v>60</x:v>
      </x:c>
      <x:c r="E411" s="91" t="s">
        <x:v>961</x:v>
      </x:c>
      <x:c r="F411" s="91" t="s">
        <x:v>961</x:v>
      </x:c>
    </x:row>
    <x:row r="412" spans="2:6" ht="24">
      <x:c r="B412" s="89">
        <x:v>498</x:v>
      </x:c>
      <x:c r="D412" s="91" t="s">
        <x:v>291</x:v>
      </x:c>
      <x:c r="E412" s="91" t="s">
        <x:v>962</x:v>
      </x:c>
      <x:c r="F412" s="91" t="s">
        <x:v>962</x:v>
      </x:c>
    </x:row>
    <x:row r="413" spans="2:6" ht="24">
      <x:c r="B413" s="89">
        <x:v>499</x:v>
      </x:c>
      <x:c r="D413" s="91" t="s">
        <x:v>290</x:v>
      </x:c>
      <x:c r="E413" s="91" t="s">
        <x:v>963</x:v>
      </x:c>
      <x:c r="F413" s="91" t="s">
        <x:v>963</x:v>
      </x:c>
    </x:row>
    <x:row r="414" spans="2:6" ht="24">
      <x:c r="B414" s="89">
        <x:v>500</x:v>
      </x:c>
      <x:c r="D414" s="91" t="s">
        <x:v>114</x:v>
      </x:c>
      <x:c r="E414" s="91" t="s">
        <x:v>965</x:v>
      </x:c>
      <x:c r="F414" s="91" t="s">
        <x:v>965</x:v>
      </x:c>
    </x:row>
    <x:row r="415" spans="2:6" ht="24">
      <x:c r="B415" s="89">
        <x:v>501</x:v>
      </x:c>
      <x:c r="D415" s="91" t="s">
        <x:v>288</x:v>
      </x:c>
      <x:c r="E415" s="91" t="s">
        <x:v>1398</x:v>
      </x:c>
      <x:c r="F415" s="91" t="s">
        <x:v>1398</x:v>
      </x:c>
    </x:row>
    <x:row r="416" spans="2:6" ht="24">
      <x:c r="B416" s="89">
        <x:v>502</x:v>
      </x:c>
      <x:c r="D416" s="91" t="s">
        <x:v>76</x:v>
      </x:c>
      <x:c r="E416" s="91" t="s">
        <x:v>1396</x:v>
      </x:c>
      <x:c r="F416" s="91" t="s">
        <x:v>1396</x:v>
      </x:c>
    </x:row>
    <x:row r="417" spans="2:6" ht="24">
      <x:c r="B417" s="89">
        <x:v>503</x:v>
      </x:c>
      <x:c r="D417" s="91" t="s">
        <x:v>2</x:v>
      </x:c>
      <x:c r="E417" s="91" t="s">
        <x:v>967</x:v>
      </x:c>
      <x:c r="F417" s="91" t="s">
        <x:v>967</x:v>
      </x:c>
    </x:row>
    <x:row r="418" spans="2:6" ht="24">
      <x:c r="B418" s="89">
        <x:v>504</x:v>
      </x:c>
      <x:c r="D418" s="91" t="s">
        <x:v>70</x:v>
      </x:c>
      <x:c r="E418" s="91" t="s">
        <x:v>995</x:v>
      </x:c>
      <x:c r="F418" s="91" t="s">
        <x:v>995</x:v>
      </x:c>
    </x:row>
    <x:row r="419" spans="2:6" ht="24">
      <x:c r="B419" s="89">
        <x:v>505</x:v>
      </x:c>
      <x:c r="D419" s="91" t="s">
        <x:v>1169</x:v>
      </x:c>
      <x:c r="E419" s="91" t="s">
        <x:v>1020</x:v>
      </x:c>
      <x:c r="F419" s="91" t="s">
        <x:v>1020</x:v>
      </x:c>
    </x:row>
    <x:row r="420" spans="2:6" ht="24">
      <x:c r="B420" s="89">
        <x:v>506</x:v>
      </x:c>
      <x:c r="D420" s="91" t="s">
        <x:v>112</x:v>
      </x:c>
      <x:c r="E420" s="91" t="s">
        <x:v>1012</x:v>
      </x:c>
      <x:c r="F420" s="91" t="s">
        <x:v>1012</x:v>
      </x:c>
    </x:row>
    <x:row r="421" spans="2:6" ht="24">
      <x:c r="B421" s="89">
        <x:v>507</x:v>
      </x:c>
      <x:c r="D421" s="91" t="s">
        <x:v>286</x:v>
      </x:c>
      <x:c r="E421" s="91" t="s">
        <x:v>1021</x:v>
      </x:c>
      <x:c r="F421" s="91" t="s">
        <x:v>1021</x:v>
      </x:c>
    </x:row>
    <x:row r="422" spans="2:6" ht="24">
      <x:c r="B422" s="89">
        <x:v>508</x:v>
      </x:c>
      <x:c r="D422" s="91" t="s">
        <x:v>7</x:v>
      </x:c>
      <x:c r="E422" s="91" t="s">
        <x:v>1022</x:v>
      </x:c>
      <x:c r="F422" s="91" t="s">
        <x:v>1022</x:v>
      </x:c>
    </x:row>
    <x:row r="423" spans="2:6" ht="24">
      <x:c r="B423" s="89">
        <x:v>509</x:v>
      </x:c>
      <x:c r="D423" s="91" t="s">
        <x:v>71</x:v>
      </x:c>
      <x:c r="E423" s="91" t="s">
        <x:v>1000</x:v>
      </x:c>
      <x:c r="F423" s="91" t="s">
        <x:v>1000</x:v>
      </x:c>
    </x:row>
    <x:row r="424" spans="2:6" ht="24">
      <x:c r="B424" s="89">
        <x:v>510</x:v>
      </x:c>
      <x:c r="D424" s="91" t="s">
        <x:v>74</x:v>
      </x:c>
      <x:c r="E424" s="91" t="s">
        <x:v>1007</x:v>
      </x:c>
      <x:c r="F424" s="91" t="s">
        <x:v>1007</x:v>
      </x:c>
    </x:row>
    <x:row r="425" spans="2:6" ht="24">
      <x:c r="B425" s="89">
        <x:v>511</x:v>
      </x:c>
      <x:c r="D425" s="91" t="s">
        <x:v>1174</x:v>
      </x:c>
      <x:c r="E425" s="91" t="s">
        <x:v>1005</x:v>
      </x:c>
      <x:c r="F425" s="91" t="s">
        <x:v>1005</x:v>
      </x:c>
    </x:row>
    <x:row r="426" spans="2:6" ht="24">
      <x:c r="B426" s="89">
        <x:v>512</x:v>
      </x:c>
      <x:c r="D426" s="91" t="s">
        <x:v>5</x:v>
      </x:c>
      <x:c r="E426" s="91" t="s">
        <x:v>1010</x:v>
      </x:c>
      <x:c r="F426" s="91" t="s">
        <x:v>1010</x:v>
      </x:c>
    </x:row>
    <x:row r="427" spans="2:6" ht="24">
      <x:c r="B427" s="89">
        <x:v>513</x:v>
      </x:c>
      <x:c r="D427" s="91" t="s">
        <x:v>72</x:v>
      </x:c>
      <x:c r="E427" s="91" t="s">
        <x:v>1008</x:v>
      </x:c>
      <x:c r="F427" s="91" t="s">
        <x:v>1008</x:v>
      </x:c>
    </x:row>
    <x:row r="428" spans="2:6" ht="24">
      <x:c r="B428" s="89">
        <x:v>514</x:v>
      </x:c>
      <x:c r="D428" s="91" t="s">
        <x:v>81</x:v>
      </x:c>
      <x:c r="E428" s="91" t="s">
        <x:v>1395</x:v>
      </x:c>
      <x:c r="F428" s="91" t="s">
        <x:v>1395</x:v>
      </x:c>
    </x:row>
    <x:row r="429" spans="2:6" ht="24">
      <x:c r="B429" s="89">
        <x:v>515</x:v>
      </x:c>
      <x:c r="D429" s="91" t="s">
        <x:v>92</x:v>
      </x:c>
      <x:c r="E429" s="91" t="s">
        <x:v>1017</x:v>
      </x:c>
      <x:c r="F429" s="91" t="s">
        <x:v>1017</x:v>
      </x:c>
    </x:row>
    <x:row r="430" spans="2:6" ht="24">
      <x:c r="B430" s="89">
        <x:v>516</x:v>
      </x:c>
      <x:c r="D430" s="91" t="s">
        <x:v>1173</x:v>
      </x:c>
      <x:c r="E430" s="91" t="s">
        <x:v>998</x:v>
      </x:c>
      <x:c r="F430" s="91" t="s">
        <x:v>998</x:v>
      </x:c>
    </x:row>
    <x:row r="431" spans="2:6" ht="24">
      <x:c r="B431" s="89">
        <x:v>517</x:v>
      </x:c>
      <x:c r="D431" s="91" t="s">
        <x:v>247</x:v>
      </x:c>
      <x:c r="E431" s="91" t="s">
        <x:v>151</x:v>
      </x:c>
      <x:c r="F431" s="91" t="s">
        <x:v>151</x:v>
      </x:c>
    </x:row>
    <x:row r="432" spans="2:6" ht="24">
      <x:c r="B432" s="89">
        <x:v>518</x:v>
      </x:c>
      <x:c r="D432" s="91" t="s">
        <x:v>194</x:v>
      </x:c>
      <x:c r="E432" s="91" t="s">
        <x:v>151</x:v>
      </x:c>
      <x:c r="F432" s="91" t="s">
        <x:v>151</x:v>
      </x:c>
    </x:row>
    <x:row r="433" spans="2:6" ht="24">
      <x:c r="B433" s="89">
        <x:v>519</x:v>
      </x:c>
      <x:c r="D433" s="91" t="s">
        <x:v>100</x:v>
      </x:c>
      <x:c r="E433" s="91" t="s">
        <x:v>259</x:v>
      </x:c>
      <x:c r="F433" s="91" t="s">
        <x:v>259</x:v>
      </x:c>
    </x:row>
    <x:row r="434" spans="2:6" ht="24">
      <x:c r="B434" s="89">
        <x:v>520</x:v>
      </x:c>
      <x:c r="D434" s="91" t="s">
        <x:v>287</x:v>
      </x:c>
      <x:c r="E434" s="91" t="s">
        <x:v>122</x:v>
      </x:c>
      <x:c r="F434" s="91" t="s">
        <x:v>122</x:v>
      </x:c>
    </x:row>
    <x:row r="435" spans="2:6" ht="24">
      <x:c r="B435" s="89">
        <x:v>521</x:v>
      </x:c>
      <x:c r="D435" s="91" t="s">
        <x:v>64</x:v>
      </x:c>
      <x:c r="E435" s="91" t="s">
        <x:v>260</x:v>
      </x:c>
      <x:c r="F435" s="91" t="s">
        <x:v>260</x:v>
      </x:c>
    </x:row>
    <x:row r="436" spans="2:6" ht="24">
      <x:c r="B436" s="89">
        <x:v>522</x:v>
      </x:c>
      <x:c r="D436" s="91" t="s">
        <x:v>90</x:v>
      </x:c>
      <x:c r="E436" s="91" t="s">
        <x:v>1399</x:v>
      </x:c>
      <x:c r="F436" s="91" t="s">
        <x:v>1399</x:v>
      </x:c>
    </x:row>
    <x:row r="437" spans="2:6" ht="24">
      <x:c r="B437" s="89">
        <x:v>523</x:v>
      </x:c>
      <x:c r="D437" s="91" t="s">
        <x:v>202</x:v>
      </x:c>
      <x:c r="E437" s="91" t="s">
        <x:v>153</x:v>
      </x:c>
      <x:c r="F437" s="91" t="s">
        <x:v>153</x:v>
      </x:c>
    </x:row>
    <x:row r="438" spans="1:27" s="176" customFormat="1" ht="24">
      <x:c r="A438" s="88"/>
      <x:c r="B438" s="89">
        <x:v>524</x:v>
      </x:c>
      <x:c r="C438" s="90"/>
      <x:c r="D438" s="91" t="s">
        <x:v>1175</x:v>
      </x:c>
      <x:c r="E438" s="91" t="s">
        <x:v>292</x:v>
      </x:c>
      <x:c r="F438" s="91" t="s">
        <x:v>292</x:v>
      </x:c>
      <x:c r="G438" s="88"/>
      <x:c r="H438" s="88"/>
      <x:c r="I438" s="88"/>
      <x:c r="J438" s="88"/>
      <x:c r="K438" s="88"/>
      <x:c r="L438" s="88"/>
      <x:c r="M438" s="88"/>
      <x:c r="N438" s="88"/>
      <x:c r="O438" s="88"/>
      <x:c r="P438" s="88"/>
      <x:c r="Q438" s="88"/>
      <x:c r="R438" s="88"/>
      <x:c r="S438" s="88"/>
      <x:c r="T438" s="88"/>
      <x:c r="U438" s="88"/>
      <x:c r="V438" s="88"/>
      <x:c r="W438" s="88"/>
      <x:c r="X438" s="88"/>
      <x:c r="Y438" s="88"/>
      <x:c r="Z438" s="88"/>
      <x:c r="AA438" s="88"/>
    </x:row>
    <x:row r="439" spans="1:27" s="176" customFormat="1">
      <x:c r="A439" s="88"/>
      <x:c r="B439" s="89">
        <x:v>525</x:v>
      </x:c>
      <x:c r="C439" s="90"/>
      <x:c r="D439" s="91" t="s">
        <x:v>1100</x:v>
      </x:c>
      <x:c r="E439" s="91" t="s">
        <x:v>1219</x:v>
      </x:c>
      <x:c r="F439" s="91" t="s">
        <x:v>1219</x:v>
      </x:c>
      <x:c r="G439" s="88"/>
      <x:c r="H439" s="88"/>
      <x:c r="I439" s="88"/>
      <x:c r="J439" s="88"/>
      <x:c r="K439" s="88"/>
      <x:c r="L439" s="88"/>
      <x:c r="M439" s="88"/>
      <x:c r="N439" s="88"/>
      <x:c r="O439" s="88"/>
      <x:c r="P439" s="88"/>
      <x:c r="Q439" s="88"/>
      <x:c r="R439" s="88"/>
      <x:c r="S439" s="88"/>
      <x:c r="T439" s="88"/>
      <x:c r="U439" s="88"/>
      <x:c r="V439" s="88"/>
      <x:c r="W439" s="88"/>
      <x:c r="X439" s="88"/>
      <x:c r="Y439" s="88"/>
      <x:c r="Z439" s="88"/>
      <x:c r="AA439" s="88"/>
    </x:row>
    <x:row r="440" spans="1:27" s="177" customFormat="1" ht="36">
      <x:c r="A440" s="88"/>
      <x:c r="B440" s="89">
        <x:v>526</x:v>
      </x:c>
      <x:c r="C440" s="90"/>
      <x:c r="D440" s="91" t="s">
        <x:v>167</x:v>
      </x:c>
      <x:c r="E440" s="91" t="s">
        <x:v>221</x:v>
      </x:c>
      <x:c r="F440" s="91" t="s">
        <x:v>221</x:v>
      </x:c>
      <x:c r="G440" s="88"/>
      <x:c r="H440" s="88"/>
      <x:c r="I440" s="88"/>
      <x:c r="J440" s="88"/>
      <x:c r="K440" s="88"/>
      <x:c r="L440" s="88"/>
      <x:c r="M440" s="88"/>
      <x:c r="N440" s="88"/>
      <x:c r="O440" s="88"/>
      <x:c r="P440" s="88"/>
      <x:c r="Q440" s="88"/>
      <x:c r="R440" s="88"/>
      <x:c r="S440" s="88"/>
      <x:c r="T440" s="88"/>
      <x:c r="U440" s="88"/>
      <x:c r="V440" s="88"/>
      <x:c r="W440" s="88"/>
      <x:c r="X440" s="88"/>
      <x:c r="Y440" s="88"/>
      <x:c r="Z440" s="88"/>
      <x:c r="AA440" s="88"/>
    </x:row>
    <x:row r="441" spans="1:27" s="177" customFormat="1">
      <x:c r="A441" s="88"/>
      <x:c r="B441" s="89">
        <x:v>527</x:v>
      </x:c>
      <x:c r="C441" s="90"/>
      <x:c r="D441" s="91" t="s">
        <x:v>1417</x:v>
      </x:c>
      <x:c r="E441" s="91" t="s">
        <x:v>1299</x:v>
      </x:c>
      <x:c r="F441" s="91" t="s">
        <x:v>1299</x:v>
      </x:c>
      <x:c r="G441" s="88"/>
      <x:c r="H441" s="88"/>
      <x:c r="I441" s="88"/>
      <x:c r="J441" s="88"/>
      <x:c r="K441" s="88"/>
      <x:c r="L441" s="88"/>
      <x:c r="M441" s="88"/>
      <x:c r="N441" s="88"/>
      <x:c r="O441" s="88"/>
      <x:c r="P441" s="88"/>
      <x:c r="Q441" s="88"/>
      <x:c r="R441" s="88"/>
      <x:c r="S441" s="88"/>
      <x:c r="T441" s="88"/>
      <x:c r="U441" s="88"/>
      <x:c r="V441" s="88"/>
      <x:c r="W441" s="88"/>
      <x:c r="X441" s="88"/>
      <x:c r="Y441" s="88"/>
      <x:c r="Z441" s="88"/>
      <x:c r="AA441" s="88"/>
    </x:row>
    <x:row r="442" spans="1:27" s="177" customFormat="1" ht="36">
      <x:c r="A442" s="88"/>
      <x:c r="B442" s="89">
        <x:v>528</x:v>
      </x:c>
      <x:c r="C442" s="90"/>
      <x:c r="D442" s="91" t="s">
        <x:v>17</x:v>
      </x:c>
      <x:c r="E442" s="91" t="s">
        <x:v>1557</x:v>
      </x:c>
      <x:c r="F442" s="91" t="s">
        <x:v>1557</x:v>
      </x:c>
      <x:c r="G442" s="88"/>
      <x:c r="H442" s="88"/>
      <x:c r="I442" s="88"/>
      <x:c r="J442" s="88"/>
      <x:c r="K442" s="88"/>
      <x:c r="L442" s="88"/>
      <x:c r="M442" s="88"/>
      <x:c r="N442" s="88"/>
      <x:c r="O442" s="88"/>
      <x:c r="P442" s="88"/>
      <x:c r="Q442" s="88"/>
      <x:c r="R442" s="88"/>
      <x:c r="S442" s="88"/>
      <x:c r="T442" s="88"/>
      <x:c r="U442" s="88"/>
      <x:c r="V442" s="88"/>
      <x:c r="W442" s="88"/>
      <x:c r="X442" s="88"/>
      <x:c r="Y442" s="88"/>
      <x:c r="Z442" s="88"/>
      <x:c r="AA442" s="88"/>
    </x:row>
    <x:row r="443" spans="1:27" s="177" customFormat="1" ht="24">
      <x:c r="A443" s="88"/>
      <x:c r="B443" s="89">
        <x:v>529</x:v>
      </x:c>
      <x:c r="C443" s="90"/>
      <x:c r="D443" s="91" t="s">
        <x:v>229</x:v>
      </x:c>
      <x:c r="E443" s="91" t="s">
        <x:v>322</x:v>
      </x:c>
      <x:c r="F443" s="91" t="s">
        <x:v>322</x:v>
      </x:c>
      <x:c r="G443" s="88"/>
      <x:c r="H443" s="88"/>
      <x:c r="I443" s="88"/>
      <x:c r="J443" s="88"/>
      <x:c r="K443" s="88"/>
      <x:c r="L443" s="88"/>
      <x:c r="M443" s="88"/>
      <x:c r="N443" s="88"/>
      <x:c r="O443" s="88"/>
      <x:c r="P443" s="88"/>
      <x:c r="Q443" s="88"/>
      <x:c r="R443" s="88"/>
      <x:c r="S443" s="88"/>
      <x:c r="T443" s="88"/>
      <x:c r="U443" s="88"/>
      <x:c r="V443" s="88"/>
      <x:c r="W443" s="88"/>
      <x:c r="X443" s="88"/>
      <x:c r="Y443" s="88"/>
      <x:c r="Z443" s="88"/>
      <x:c r="AA443" s="88"/>
    </x:row>
    <x:row r="444" spans="1:27" s="177" customFormat="1" ht="24">
      <x:c r="A444" s="88"/>
      <x:c r="B444" s="89">
        <x:v>530</x:v>
      </x:c>
      <x:c r="C444" s="90"/>
      <x:c r="D444" s="91" t="s">
        <x:v>285</x:v>
      </x:c>
      <x:c r="E444" s="91" t="s">
        <x:v>155</x:v>
      </x:c>
      <x:c r="F444" s="91" t="s">
        <x:v>155</x:v>
      </x:c>
      <x:c r="G444" s="88"/>
      <x:c r="H444" s="88"/>
      <x:c r="I444" s="88"/>
      <x:c r="J444" s="88"/>
      <x:c r="K444" s="88"/>
      <x:c r="L444" s="88"/>
      <x:c r="M444" s="88"/>
      <x:c r="N444" s="88"/>
      <x:c r="O444" s="88"/>
      <x:c r="P444" s="88"/>
      <x:c r="Q444" s="88"/>
      <x:c r="R444" s="88"/>
      <x:c r="S444" s="88"/>
      <x:c r="T444" s="88"/>
      <x:c r="U444" s="88"/>
      <x:c r="V444" s="88"/>
      <x:c r="W444" s="88"/>
      <x:c r="X444" s="88"/>
      <x:c r="Y444" s="88"/>
      <x:c r="Z444" s="88"/>
      <x:c r="AA444" s="88"/>
    </x:row>
    <x:row r="445" spans="1:27" s="177" customFormat="1" ht="24">
      <x:c r="A445" s="88"/>
      <x:c r="B445" s="89">
        <x:v>531</x:v>
      </x:c>
      <x:c r="C445" s="90"/>
      <x:c r="D445" s="91" t="s">
        <x:v>6</x:v>
      </x:c>
      <x:c r="E445" s="91" t="s">
        <x:v>354</x:v>
      </x:c>
      <x:c r="F445" s="91" t="s">
        <x:v>354</x:v>
      </x:c>
      <x:c r="G445" s="88"/>
      <x:c r="H445" s="88"/>
      <x:c r="I445" s="88"/>
      <x:c r="J445" s="88"/>
      <x:c r="K445" s="88"/>
      <x:c r="L445" s="88"/>
      <x:c r="M445" s="88"/>
      <x:c r="N445" s="88"/>
      <x:c r="O445" s="88"/>
      <x:c r="P445" s="88"/>
      <x:c r="Q445" s="88"/>
      <x:c r="R445" s="88"/>
      <x:c r="S445" s="88"/>
      <x:c r="T445" s="88"/>
      <x:c r="U445" s="88"/>
      <x:c r="V445" s="88"/>
      <x:c r="W445" s="88"/>
      <x:c r="X445" s="88"/>
      <x:c r="Y445" s="88"/>
      <x:c r="Z445" s="88"/>
      <x:c r="AA445" s="88"/>
    </x:row>
    <x:row r="446" spans="1:27" s="177" customFormat="1" ht="24">
      <x:c r="A446" s="88"/>
      <x:c r="B446" s="89">
        <x:v>532</x:v>
      </x:c>
      <x:c r="C446" s="90"/>
      <x:c r="D446" s="91" t="s">
        <x:v>46</x:v>
      </x:c>
      <x:c r="E446" s="91" t="s">
        <x:v>361</x:v>
      </x:c>
      <x:c r="F446" s="91" t="s">
        <x:v>361</x:v>
      </x:c>
      <x:c r="G446" s="88"/>
      <x:c r="H446" s="88"/>
      <x:c r="I446" s="88"/>
      <x:c r="J446" s="88"/>
      <x:c r="K446" s="88"/>
      <x:c r="L446" s="88"/>
      <x:c r="M446" s="88"/>
      <x:c r="N446" s="88"/>
      <x:c r="O446" s="88"/>
      <x:c r="P446" s="88"/>
      <x:c r="Q446" s="88"/>
      <x:c r="R446" s="88"/>
      <x:c r="S446" s="88"/>
      <x:c r="T446" s="88"/>
      <x:c r="U446" s="88"/>
      <x:c r="V446" s="88"/>
      <x:c r="W446" s="88"/>
      <x:c r="X446" s="88"/>
      <x:c r="Y446" s="88"/>
      <x:c r="Z446" s="88"/>
      <x:c r="AA446" s="88"/>
    </x:row>
    <x:row r="447" spans="1:27" s="177" customFormat="1">
      <x:c r="A447" s="88"/>
      <x:c r="B447" s="89">
        <x:v>533</x:v>
      </x:c>
      <x:c r="C447" s="90"/>
      <x:c r="D447" s="91" t="s">
        <x:v>248</x:v>
      </x:c>
      <x:c r="E447" s="91" t="s">
        <x:v>651</x:v>
      </x:c>
      <x:c r="F447" s="91" t="s">
        <x:v>651</x:v>
      </x:c>
      <x:c r="G447" s="88"/>
      <x:c r="H447" s="88"/>
      <x:c r="I447" s="88"/>
      <x:c r="J447" s="88"/>
      <x:c r="K447" s="88"/>
      <x:c r="L447" s="88"/>
      <x:c r="M447" s="88"/>
      <x:c r="N447" s="88"/>
      <x:c r="O447" s="88"/>
      <x:c r="P447" s="88"/>
      <x:c r="Q447" s="88"/>
      <x:c r="R447" s="88"/>
      <x:c r="S447" s="88"/>
      <x:c r="T447" s="88"/>
      <x:c r="U447" s="88"/>
      <x:c r="V447" s="88"/>
      <x:c r="W447" s="88"/>
      <x:c r="X447" s="88"/>
      <x:c r="Y447" s="88"/>
      <x:c r="Z447" s="88"/>
      <x:c r="AA447" s="88"/>
    </x:row>
    <x:row r="448" spans="1:27" s="177" customFormat="1">
      <x:c r="A448" s="88"/>
      <x:c r="B448" s="89">
        <x:v>534</x:v>
      </x:c>
      <x:c r="C448" s="90"/>
      <x:c r="D448" s="91" t="s">
        <x:v>39</x:v>
      </x:c>
      <x:c r="E448" s="91" t="s">
        <x:v>1054</x:v>
      </x:c>
      <x:c r="F448" s="91" t="s">
        <x:v>1054</x:v>
      </x:c>
      <x:c r="G448" s="88"/>
      <x:c r="H448" s="88"/>
      <x:c r="I448" s="88"/>
      <x:c r="J448" s="88"/>
      <x:c r="K448" s="88"/>
      <x:c r="L448" s="88"/>
      <x:c r="M448" s="88"/>
      <x:c r="N448" s="88"/>
      <x:c r="O448" s="88"/>
      <x:c r="P448" s="88"/>
      <x:c r="Q448" s="88"/>
      <x:c r="R448" s="88"/>
      <x:c r="S448" s="88"/>
      <x:c r="T448" s="88"/>
      <x:c r="U448" s="88"/>
      <x:c r="V448" s="88"/>
      <x:c r="W448" s="88"/>
      <x:c r="X448" s="88"/>
      <x:c r="Y448" s="88"/>
      <x:c r="Z448" s="88"/>
      <x:c r="AA448" s="88"/>
    </x:row>
    <x:row r="449" spans="1:27" s="177" customFormat="1" ht="24">
      <x:c r="A449" s="88"/>
      <x:c r="B449" s="89">
        <x:v>535</x:v>
      </x:c>
      <x:c r="C449" s="90"/>
      <x:c r="D449" s="91" t="s">
        <x:v>65</x:v>
      </x:c>
      <x:c r="E449" s="91" t="s">
        <x:v>469</x:v>
      </x:c>
      <x:c r="F449" s="91" t="s">
        <x:v>469</x:v>
      </x:c>
      <x:c r="G449" s="88"/>
      <x:c r="H449" s="88"/>
      <x:c r="I449" s="88"/>
      <x:c r="J449" s="88"/>
      <x:c r="K449" s="88"/>
      <x:c r="L449" s="88"/>
      <x:c r="M449" s="88"/>
      <x:c r="N449" s="88"/>
      <x:c r="O449" s="88"/>
      <x:c r="P449" s="88"/>
      <x:c r="Q449" s="88"/>
      <x:c r="R449" s="88"/>
      <x:c r="S449" s="88"/>
      <x:c r="T449" s="88"/>
      <x:c r="U449" s="88"/>
      <x:c r="V449" s="88"/>
      <x:c r="W449" s="88"/>
      <x:c r="X449" s="88"/>
      <x:c r="Y449" s="88"/>
      <x:c r="Z449" s="88"/>
      <x:c r="AA449" s="88"/>
    </x:row>
    <x:row r="450" spans="1:27" s="177" customFormat="1">
      <x:c r="A450" s="88"/>
      <x:c r="B450" s="89">
        <x:v>536</x:v>
      </x:c>
      <x:c r="C450" s="90"/>
      <x:c r="D450" s="91" t="s">
        <x:v>304</x:v>
      </x:c>
      <x:c r="E450" s="91" t="s">
        <x:v>516</x:v>
      </x:c>
      <x:c r="F450" s="91" t="s">
        <x:v>516</x:v>
      </x:c>
      <x:c r="G450" s="88"/>
      <x:c r="H450" s="88"/>
      <x:c r="I450" s="88"/>
      <x:c r="J450" s="88"/>
      <x:c r="K450" s="88"/>
      <x:c r="L450" s="88"/>
      <x:c r="M450" s="88"/>
      <x:c r="N450" s="88"/>
      <x:c r="O450" s="88"/>
      <x:c r="P450" s="88"/>
      <x:c r="Q450" s="88"/>
      <x:c r="R450" s="88"/>
      <x:c r="S450" s="88"/>
      <x:c r="T450" s="88"/>
      <x:c r="U450" s="88"/>
      <x:c r="V450" s="88"/>
      <x:c r="W450" s="88"/>
      <x:c r="X450" s="88"/>
      <x:c r="Y450" s="88"/>
      <x:c r="Z450" s="88"/>
      <x:c r="AA450" s="88"/>
    </x:row>
    <x:row r="451" spans="2:6">
      <x:c r="B451" s="89">
        <x:v>537</x:v>
      </x:c>
      <x:c r="D451" s="91" t="s">
        <x:v>310</x:v>
      </x:c>
      <x:c r="E451" s="91" t="s">
        <x:v>503</x:v>
      </x:c>
      <x:c r="F451" s="91" t="s">
        <x:v>503</x:v>
      </x:c>
    </x:row>
    <x:row r="452" spans="2:6">
      <x:c r="B452" s="89">
        <x:v>538</x:v>
      </x:c>
      <x:c r="D452" s="91" t="s">
        <x:v>34</x:v>
      </x:c>
      <x:c r="E452" s="91" t="s">
        <x:v>647</x:v>
      </x:c>
      <x:c r="F452" s="91" t="s">
        <x:v>647</x:v>
      </x:c>
    </x:row>
    <x:row r="453" spans="2:6" ht="24">
      <x:c r="B453" s="89">
        <x:v>539</x:v>
      </x:c>
      <x:c r="D453" s="91" t="s">
        <x:v>98</x:v>
      </x:c>
      <x:c r="E453" s="91" t="s">
        <x:v>156</x:v>
      </x:c>
      <x:c r="F453" s="91" t="s">
        <x:v>156</x:v>
      </x:c>
    </x:row>
    <x:row r="454" spans="1:6" ht="48">
      <x:c r="A454" s="176"/>
      <x:c r="B454" s="89">
        <x:v>540</x:v>
      </x:c>
      <x:c r="C454" s="182" t="s">
        <x:v>1280</x:v>
      </x:c>
      <x:c r="D454" s="176" t="s">
        <x:v>83</x:v>
      </x:c>
      <x:c r="E454" s="176" t="s">
        <x:v>283</x:v>
      </x:c>
      <x:c r="F454" s="176" t="s">
        <x:v>283</x:v>
      </x:c>
    </x:row>
    <x:row r="455" spans="2:6" ht="36">
      <x:c r="B455" s="89">
        <x:v>541</x:v>
      </x:c>
      <x:c r="D455" s="91" t="s">
        <x:v>20</x:v>
      </x:c>
      <x:c r="E455" s="91" t="s">
        <x:v>1556</x:v>
      </x:c>
      <x:c r="F455" s="91" t="s">
        <x:v>1556</x:v>
      </x:c>
    </x:row>
    <x:row r="456" spans="2:6">
      <x:c r="B456" s="89">
        <x:v>542</x:v>
      </x:c>
      <x:c r="D456" s="91" t="s">
        <x:v>1418</x:v>
      </x:c>
      <x:c r="E456" s="91" t="s">
        <x:v>323</x:v>
      </x:c>
      <x:c r="F456" s="91" t="s">
        <x:v>323</x:v>
      </x:c>
    </x:row>
    <x:row r="457" spans="2:6">
      <x:c r="B457" s="89">
        <x:v>543</x:v>
      </x:c>
      <x:c r="D457" s="91" t="s">
        <x:v>271</x:v>
      </x:c>
      <x:c r="E457" s="91" t="s">
        <x:v>505</x:v>
      </x:c>
      <x:c r="F457" s="91" t="s">
        <x:v>505</x:v>
      </x:c>
    </x:row>
    <x:row r="458" spans="2:6">
      <x:c r="B458" s="89">
        <x:v>544</x:v>
      </x:c>
      <x:c r="D458" s="91" t="s">
        <x:v>120</x:v>
      </x:c>
      <x:c r="E458" s="91" t="s">
        <x:v>499</x:v>
      </x:c>
      <x:c r="F458" s="91" t="s">
        <x:v>499</x:v>
      </x:c>
    </x:row>
    <x:row r="459" spans="2:6" ht="24">
      <x:c r="B459" s="89">
        <x:v>545</x:v>
      </x:c>
      <x:c r="D459" s="91" t="s">
        <x:v>1177</x:v>
      </x:c>
      <x:c r="E459" s="91" t="s">
        <x:v>1409</x:v>
      </x:c>
      <x:c r="F459" s="91" t="s">
        <x:v>1409</x:v>
      </x:c>
    </x:row>
    <x:row r="460" spans="2:6">
      <x:c r="B460" s="89">
        <x:v>546</x:v>
      </x:c>
      <x:c r="D460" s="91" t="s">
        <x:v>249</x:v>
      </x:c>
      <x:c r="E460" s="91" t="s">
        <x:v>471</x:v>
      </x:c>
      <x:c r="F460" s="91" t="s">
        <x:v>471</x:v>
      </x:c>
    </x:row>
    <x:row r="461" spans="2:6">
      <x:c r="B461" s="89">
        <x:v>547</x:v>
      </x:c>
      <x:c r="D461" s="91" t="s">
        <x:v>214</x:v>
      </x:c>
      <x:c r="E461" s="91" t="s">
        <x:v>1004</x:v>
      </x:c>
      <x:c r="F461" s="91" t="s">
        <x:v>1004</x:v>
      </x:c>
    </x:row>
    <x:row r="462" spans="2:6">
      <x:c r="B462" s="89">
        <x:v>548</x:v>
      </x:c>
      <x:c r="D462" s="91" t="s">
        <x:v>211</x:v>
      </x:c>
      <x:c r="E462" s="91" t="s">
        <x:v>999</x:v>
      </x:c>
      <x:c r="F462" s="91" t="s">
        <x:v>999</x:v>
      </x:c>
    </x:row>
    <x:row r="463" spans="2:6" ht="24">
      <x:c r="B463" s="89">
        <x:v>549</x:v>
      </x:c>
      <x:c r="D463" s="91" t="s">
        <x:v>1176</x:v>
      </x:c>
      <x:c r="E463" s="91" t="s">
        <x:v>993</x:v>
      </x:c>
      <x:c r="F463" s="91" t="s">
        <x:v>993</x:v>
      </x:c>
    </x:row>
    <x:row r="464" spans="2:6">
      <x:c r="B464" s="89">
        <x:v>550</x:v>
      </x:c>
      <x:c r="D464" s="91" t="s">
        <x:v>192</x:v>
      </x:c>
      <x:c r="E464" s="91" t="s">
        <x:v>487</x:v>
      </x:c>
      <x:c r="F464" s="91" t="s">
        <x:v>487</x:v>
      </x:c>
    </x:row>
    <x:row r="465" spans="2:6" ht="24">
      <x:c r="B465" s="89">
        <x:v>551</x:v>
      </x:c>
      <x:c r="D465" s="91" t="s">
        <x:v>230</x:v>
      </x:c>
      <x:c r="E465" s="91" t="s">
        <x:v>297</x:v>
      </x:c>
      <x:c r="F465" s="91" t="s">
        <x:v>297</x:v>
      </x:c>
    </x:row>
    <x:row r="466" spans="2:6">
      <x:c r="B466" s="89">
        <x:v>552</x:v>
      </x:c>
      <x:c r="D466" s="91" t="s">
        <x:v>127</x:v>
      </x:c>
      <x:c r="E466" s="91" t="s">
        <x:v>1323</x:v>
      </x:c>
      <x:c r="F466" s="91" t="s">
        <x:v>1323</x:v>
      </x:c>
    </x:row>
    <x:row r="467" spans="2:6" ht="24">
      <x:c r="B467" s="89">
        <x:v>553</x:v>
      </x:c>
      <x:c r="D467" s="91" t="s">
        <x:v>240</x:v>
      </x:c>
      <x:c r="E467" s="91" t="s">
        <x:v>994</x:v>
      </x:c>
      <x:c r="F467" s="91" t="s">
        <x:v>994</x:v>
      </x:c>
    </x:row>
    <x:row r="468" spans="2:6" ht="24">
      <x:c r="B468" s="89">
        <x:v>554</x:v>
      </x:c>
      <x:c r="D468" s="91" t="s">
        <x:v>203</x:v>
      </x:c>
      <x:c r="E468" s="91" t="s">
        <x:v>133</x:v>
      </x:c>
      <x:c r="F468" s="91" t="s">
        <x:v>133</x:v>
      </x:c>
    </x:row>
    <x:row r="469" spans="2:6" ht="24">
      <x:c r="B469" s="89">
        <x:v>555</x:v>
      </x:c>
      <x:c r="D469" s="91" t="s">
        <x:v>355</x:v>
      </x:c>
      <x:c r="E469" s="91" t="s">
        <x:v>222</x:v>
      </x:c>
      <x:c r="F469" s="91" t="s">
        <x:v>222</x:v>
      </x:c>
    </x:row>
    <x:row r="470" spans="2:6">
      <x:c r="B470" s="89">
        <x:v>556</x:v>
      </x:c>
      <x:c r="D470" s="91" t="s">
        <x:v>582</x:v>
      </x:c>
      <x:c r="E470" s="91" t="s">
        <x:v>1222</x:v>
      </x:c>
      <x:c r="F470" s="91" t="s">
        <x:v>1222</x:v>
      </x:c>
    </x:row>
    <x:row r="471" spans="2:6">
      <x:c r="B471" s="89">
        <x:v>557</x:v>
      </x:c>
      <x:c r="C471" s="90" t="s">
        <x:v>1296</x:v>
      </x:c>
      <x:c r="D471" s="91" t="s">
        <x:v>184</x:v>
      </x:c>
      <x:c r="E471" s="91" t="s">
        <x:v>475</x:v>
      </x:c>
      <x:c r="F471" s="91" t="s">
        <x:v>475</x:v>
      </x:c>
    </x:row>
    <x:row r="472" spans="2:6" ht="24">
      <x:c r="B472" s="89">
        <x:v>558</x:v>
      </x:c>
      <x:c r="C472" s="90" t="s">
        <x:v>1296</x:v>
      </x:c>
      <x:c r="D472" s="91" t="s">
        <x:v>78</x:v>
      </x:c>
      <x:c r="E472" s="91" t="s">
        <x:v>363</x:v>
      </x:c>
      <x:c r="F472" s="91" t="s">
        <x:v>363</x:v>
      </x:c>
    </x:row>
    <x:row r="473" spans="2:6">
      <x:c r="B473" s="89">
        <x:v>559</x:v>
      </x:c>
      <x:c r="D473" s="91" t="s">
        <x:v>171</x:v>
      </x:c>
      <x:c r="E473" s="91" t="s">
        <x:v>473</x:v>
      </x:c>
      <x:c r="F473" s="91" t="s">
        <x:v>473</x:v>
      </x:c>
    </x:row>
    <x:row r="474" spans="2:6">
      <x:c r="B474" s="89">
        <x:v>560</x:v>
      </x:c>
      <x:c r="D474" s="91" t="s">
        <x:v>174</x:v>
      </x:c>
      <x:c r="E474" s="91" t="s">
        <x:v>472</x:v>
      </x:c>
      <x:c r="F474" s="91" t="s">
        <x:v>472</x:v>
      </x:c>
    </x:row>
    <x:row r="475" spans="2:6" ht="36">
      <x:c r="B475" s="89">
        <x:v>561</x:v>
      </x:c>
      <x:c r="D475" s="91" t="s">
        <x:v>146</x:v>
      </x:c>
      <x:c r="E475" s="91" t="s">
        <x:v>200</x:v>
      </x:c>
      <x:c r="F475" s="91" t="s">
        <x:v>200</x:v>
      </x:c>
    </x:row>
    <x:row r="476" spans="2:6">
      <x:c r="B476" s="89">
        <x:v>562</x:v>
      </x:c>
      <x:c r="D476" s="91" t="s">
        <x:v>29</x:v>
      </x:c>
      <x:c r="E476" s="91" t="s">
        <x:v>1047</x:v>
      </x:c>
      <x:c r="F476" s="91" t="s">
        <x:v>1047</x:v>
      </x:c>
    </x:row>
    <x:row r="477" spans="2:6">
      <x:c r="B477" s="89">
        <x:v>563</x:v>
      </x:c>
      <x:c r="D477" s="91" t="s">
        <x:v>577</x:v>
      </x:c>
      <x:c r="E477" s="91" t="s">
        <x:v>1318</x:v>
      </x:c>
      <x:c r="F477" s="91" t="s">
        <x:v>1318</x:v>
      </x:c>
    </x:row>
    <x:row r="478" spans="2:6">
      <x:c r="B478" s="89">
        <x:v>564</x:v>
      </x:c>
      <x:c r="D478" s="91" t="s">
        <x:v>129</x:v>
      </x:c>
      <x:c r="E478" s="91" t="s">
        <x:v>1295</x:v>
      </x:c>
      <x:c r="F478" s="91" t="s">
        <x:v>1295</x:v>
      </x:c>
    </x:row>
    <x:row r="479" spans="2:6">
      <x:c r="B479" s="89">
        <x:v>565</x:v>
      </x:c>
      <x:c r="D479" s="91" t="s">
        <x:v>578</x:v>
      </x:c>
      <x:c r="E479" s="91" t="s">
        <x:v>1324</x:v>
      </x:c>
      <x:c r="F479" s="91" t="s">
        <x:v>1324</x:v>
      </x:c>
    </x:row>
    <x:row r="480" spans="2:6">
      <x:c r="B480" s="89">
        <x:v>566</x:v>
      </x:c>
      <x:c r="D480" s="91" t="s">
        <x:v>367</x:v>
      </x:c>
      <x:c r="E480" s="91" t="s">
        <x:v>470</x:v>
      </x:c>
      <x:c r="F480" s="91" t="s">
        <x:v>470</x:v>
      </x:c>
    </x:row>
    <x:row r="481" spans="2:6" ht="36">
      <x:c r="B481" s="89">
        <x:v>567</x:v>
      </x:c>
      <x:c r="D481" s="91" t="s">
        <x:v>1412</x:v>
      </x:c>
      <x:c r="E481" s="91" t="s">
        <x:v>198</x:v>
      </x:c>
      <x:c r="F481" s="91" t="s">
        <x:v>198</x:v>
      </x:c>
    </x:row>
    <x:row r="482" spans="2:6" ht="24">
      <x:c r="B482" s="89">
        <x:v>568</x:v>
      </x:c>
      <x:c r="D482" s="91" t="s">
        <x:v>63</x:v>
      </x:c>
      <x:c r="E482" s="91" t="s">
        <x:v>992</x:v>
      </x:c>
      <x:c r="F482" s="91" t="s">
        <x:v>992</x:v>
      </x:c>
    </x:row>
    <x:row r="483" spans="2:6">
      <x:c r="B483" s="89">
        <x:v>569</x:v>
      </x:c>
      <x:c r="D483" s="91" t="s">
        <x:v>1241</x:v>
      </x:c>
      <x:c r="E483" s="91" t="s">
        <x:v>1221</x:v>
      </x:c>
      <x:c r="F483" s="91" t="s">
        <x:v>1221</x:v>
      </x:c>
    </x:row>
    <x:row r="484" spans="2:6">
      <x:c r="B484" s="89">
        <x:v>570</x:v>
      </x:c>
      <x:c r="D484" s="91" t="s">
        <x:v>1244</x:v>
      </x:c>
      <x:c r="E484" s="91" t="s">
        <x:v>1220</x:v>
      </x:c>
      <x:c r="F484" s="91" t="s">
        <x:v>1220</x:v>
      </x:c>
    </x:row>
    <x:row r="485" spans="2:6" ht="24">
      <x:c r="B485" s="89">
        <x:v>571</x:v>
      </x:c>
      <x:c r="D485" s="91" t="s">
        <x:v>93</x:v>
      </x:c>
      <x:c r="E485" s="91" t="s">
        <x:v>190</x:v>
      </x:c>
      <x:c r="F485" s="91" t="s">
        <x:v>190</x:v>
      </x:c>
    </x:row>
    <x:row r="486" spans="2:6">
      <x:c r="B486" s="89">
        <x:v>572</x:v>
      </x:c>
      <x:c r="D486" s="91" t="s">
        <x:v>1455</x:v>
      </x:c>
      <x:c r="E486" s="91" t="s">
        <x:v>1472</x:v>
      </x:c>
      <x:c r="F486" s="91" t="s">
        <x:v>1472</x:v>
      </x:c>
    </x:row>
    <x:row r="487" spans="2:6">
      <x:c r="B487" s="89">
        <x:v>573</x:v>
      </x:c>
      <x:c r="D487" s="91" t="s">
        <x:v>1374</x:v>
      </x:c>
      <x:c r="E487" s="91" t="s">
        <x:v>639</x:v>
      </x:c>
      <x:c r="F487" s="91" t="s">
        <x:v>639</x:v>
      </x:c>
    </x:row>
    <x:row r="488" spans="2:6">
      <x:c r="B488" s="89">
        <x:v>574</x:v>
      </x:c>
      <x:c r="D488" s="91" t="s">
        <x:v>666</x:v>
      </x:c>
      <x:c r="E488" s="91" t="s">
        <x:v>448</x:v>
      </x:c>
      <x:c r="F488" s="91" t="s">
        <x:v>448</x:v>
      </x:c>
    </x:row>
    <x:row r="489" spans="2:6">
      <x:c r="B489" s="89">
        <x:v>575</x:v>
      </x:c>
      <x:c r="D489" s="91" t="s">
        <x:v>1349</x:v>
      </x:c>
      <x:c r="E489" s="91" t="s">
        <x:v>1343</x:v>
      </x:c>
      <x:c r="F489" s="91" t="s">
        <x:v>1343</x:v>
      </x:c>
    </x:row>
    <x:row r="490" spans="2:6">
      <x:c r="B490" s="89">
        <x:v>576</x:v>
      </x:c>
      <x:c r="D490" s="91" t="s">
        <x:v>1242</x:v>
      </x:c>
      <x:c r="E490" s="91" t="s">
        <x:v>1037</x:v>
      </x:c>
      <x:c r="F490" s="91" t="s">
        <x:v>1037</x:v>
      </x:c>
    </x:row>
    <x:row r="491" spans="2:6">
      <x:c r="B491" s="89">
        <x:v>577</x:v>
      </x:c>
      <x:c r="D491" s="91" t="s">
        <x:v>1150</x:v>
      </x:c>
      <x:c r="E491" s="91" t="s">
        <x:v>1055</x:v>
      </x:c>
      <x:c r="F491" s="91" t="s">
        <x:v>1055</x:v>
      </x:c>
    </x:row>
    <x:row r="492" spans="2:6" ht="36">
      <x:c r="B492" s="89">
        <x:v>578</x:v>
      </x:c>
      <x:c r="D492" s="91" t="s">
        <x:v>1413</x:v>
      </x:c>
      <x:c r="E492" s="91" t="s">
        <x:v>282</x:v>
      </x:c>
      <x:c r="F492" s="91" t="s">
        <x:v>282</x:v>
      </x:c>
    </x:row>
    <x:row r="493" spans="2:6">
      <x:c r="B493" s="89">
        <x:v>579</x:v>
      </x:c>
      <x:c r="D493" s="91" t="s">
        <x:v>721</x:v>
      </x:c>
      <x:c r="E493" s="91" t="s">
        <x:v>1486</x:v>
      </x:c>
      <x:c r="F493" s="91" t="s">
        <x:v>1486</x:v>
      </x:c>
    </x:row>
    <x:row r="494" spans="2:6">
      <x:c r="B494" s="89">
        <x:v>580</x:v>
      </x:c>
      <x:c r="D494" s="91" t="s">
        <x:v>330</x:v>
      </x:c>
      <x:c r="E494" s="91" t="s">
        <x:v>1226</x:v>
      </x:c>
      <x:c r="F494" s="91" t="s">
        <x:v>1226</x:v>
      </x:c>
    </x:row>
    <x:row r="495" spans="2:6">
      <x:c r="B495" s="89">
        <x:v>581</x:v>
      </x:c>
      <x:c r="C495" s="90" t="s">
        <x:v>1144</x:v>
      </x:c>
      <x:c r="D495" s="88" t="s">
        <x:v>1288</x:v>
      </x:c>
      <x:c r="E495" s="180" t="s">
        <x:v>1462</x:v>
      </x:c>
      <x:c r="F495" s="180" t="s">
        <x:v>1462</x:v>
      </x:c>
    </x:row>
    <x:row r="496" spans="2:6">
      <x:c r="B496" s="89">
        <x:v>582</x:v>
      </x:c>
      <x:c r="C496" s="90" t="s">
        <x:v>1144</x:v>
      </x:c>
      <x:c r="D496" s="91" t="s">
        <x:v>1192</x:v>
      </x:c>
      <x:c r="E496" s="180" t="s">
        <x:v>745</x:v>
      </x:c>
      <x:c r="F496" s="180" t="s">
        <x:v>745</x:v>
      </x:c>
    </x:row>
    <x:row r="497" spans="2:6">
      <x:c r="B497" s="89">
        <x:v>583</x:v>
      </x:c>
      <x:c r="D497" s="91" t="s">
        <x:v>581</x:v>
      </x:c>
      <x:c r="E497" s="91" t="s">
        <x:v>1056</x:v>
      </x:c>
      <x:c r="F497" s="91" t="s">
        <x:v>1056</x:v>
      </x:c>
    </x:row>
    <x:row r="498" spans="2:6" ht="36">
      <x:c r="B498" s="89">
        <x:v>584</x:v>
      </x:c>
      <x:c r="D498" s="91" t="s">
        <x:v>574</x:v>
      </x:c>
      <x:c r="E498" s="91" t="s">
        <x:v>500</x:v>
      </x:c>
      <x:c r="F498" s="91" t="s">
        <x:v>500</x:v>
      </x:c>
    </x:row>
    <x:row r="499" spans="2:6">
      <x:c r="B499" s="89">
        <x:v>585</x:v>
      </x:c>
      <x:c r="D499" s="91" t="s">
        <x:v>1375</x:v>
      </x:c>
      <x:c r="E499" s="91" t="s">
        <x:v>1224</x:v>
      </x:c>
      <x:c r="F499" s="91" t="s">
        <x:v>1224</x:v>
      </x:c>
    </x:row>
    <x:row r="500" spans="1:6">
      <x:c r="A500" s="177"/>
      <x:c r="B500" s="89">
        <x:v>586</x:v>
      </x:c>
      <x:c r="C500" s="178" t="s">
        <x:v>1142</x:v>
      </x:c>
      <x:c r="D500" s="176" t="s">
        <x:v>1289</x:v>
      </x:c>
      <x:c r="E500" s="176" t="s">
        <x:v>812</x:v>
      </x:c>
      <x:c r="F500" s="176" t="s">
        <x:v>812</x:v>
      </x:c>
    </x:row>
    <x:row r="501" spans="1:6">
      <x:c r="A501" s="177"/>
      <x:c r="B501" s="89">
        <x:v>587</x:v>
      </x:c>
      <x:c r="C501" s="178" t="s">
        <x:v>1142</x:v>
      </x:c>
      <x:c r="D501" s="176" t="s">
        <x:v>384</x:v>
      </x:c>
      <x:c r="E501" s="176" t="s">
        <x:v>801</x:v>
      </x:c>
      <x:c r="F501" s="176" t="s">
        <x:v>801</x:v>
      </x:c>
    </x:row>
    <x:row r="502" spans="2:6">
      <x:c r="B502" s="89">
        <x:v>588</x:v>
      </x:c>
      <x:c r="D502" s="91" t="s">
        <x:v>1278</x:v>
      </x:c>
      <x:c r="E502" s="176" t="s">
        <x:v>826</x:v>
      </x:c>
      <x:c r="F502" s="176" t="s">
        <x:v>826</x:v>
      </x:c>
    </x:row>
    <x:row r="503" spans="2:6">
      <x:c r="B503" s="89">
        <x:v>589</x:v>
      </x:c>
      <x:c r="D503" s="91" t="s">
        <x:v>328</x:v>
      </x:c>
      <x:c r="E503" s="91" t="s">
        <x:v>818</x:v>
      </x:c>
      <x:c r="F503" s="91" t="s">
        <x:v>818</x:v>
      </x:c>
    </x:row>
    <x:row r="504" spans="2:6">
      <x:c r="B504" s="89">
        <x:v>590</x:v>
      </x:c>
      <x:c r="D504" s="91" t="s">
        <x:v>1466</x:v>
      </x:c>
      <x:c r="E504" s="91" t="s">
        <x:v>1498</x:v>
      </x:c>
      <x:c r="F504" s="91" t="s">
        <x:v>1498</x:v>
      </x:c>
    </x:row>
    <x:row r="505" spans="2:6" ht="24">
      <x:c r="B505" s="89">
        <x:v>591</x:v>
      </x:c>
      <x:c r="D505" s="91" t="s">
        <x:v>91</x:v>
      </x:c>
      <x:c r="E505" s="91" t="s">
        <x:v>105</x:v>
      </x:c>
      <x:c r="F505" s="91" t="s">
        <x:v>105</x:v>
      </x:c>
    </x:row>
    <x:row r="506" spans="2:6">
      <x:c r="B506" s="89">
        <x:v>592</x:v>
      </x:c>
      <x:c r="D506" s="91" t="s">
        <x:v>329</x:v>
      </x:c>
      <x:c r="E506" s="91" t="s">
        <x:v>806</x:v>
      </x:c>
      <x:c r="F506" s="91" t="s">
        <x:v>806</x:v>
      </x:c>
    </x:row>
    <x:row r="507" spans="2:6" ht="36">
      <x:c r="B507" s="89">
        <x:v>593</x:v>
      </x:c>
      <x:c r="D507" s="91" t="s">
        <x:v>209</x:v>
      </x:c>
      <x:c r="E507" s="91" t="s">
        <x:v>238</x:v>
      </x:c>
      <x:c r="F507" s="91" t="s">
        <x:v>238</x:v>
      </x:c>
    </x:row>
    <x:row r="508" spans="2:6">
      <x:c r="B508" s="89">
        <x:v>594</x:v>
      </x:c>
      <x:c r="D508" s="91" t="s">
        <x:v>1265</x:v>
      </x:c>
      <x:c r="E508" s="91" t="s">
        <x:v>1184</x:v>
      </x:c>
      <x:c r="F508" s="91" t="s">
        <x:v>1184</x:v>
      </x:c>
    </x:row>
    <x:row r="509" spans="2:6">
      <x:c r="B509" s="89">
        <x:v>595</x:v>
      </x:c>
      <x:c r="D509" s="91" t="s">
        <x:v>718</x:v>
      </x:c>
      <x:c r="E509" s="91" t="s">
        <x:v>813</x:v>
      </x:c>
      <x:c r="F509" s="91" t="s">
        <x:v>813</x:v>
      </x:c>
    </x:row>
    <x:row r="510" spans="2:6">
      <x:c r="B510" s="89">
        <x:v>596</x:v>
      </x:c>
      <x:c r="D510" s="91" t="s">
        <x:v>32</x:v>
      </x:c>
      <x:c r="E510" s="91" t="s">
        <x:v>474</x:v>
      </x:c>
      <x:c r="F510" s="91" t="s">
        <x:v>474</x:v>
      </x:c>
    </x:row>
    <x:row r="511" spans="2:6">
      <x:c r="B511" s="89">
        <x:v>597</x:v>
      </x:c>
      <x:c r="D511" s="91" t="s">
        <x:v>580</x:v>
      </x:c>
      <x:c r="E511" s="91" t="s">
        <x:v>1223</x:v>
      </x:c>
      <x:c r="F511" s="91" t="s">
        <x:v>1223</x:v>
      </x:c>
    </x:row>
    <x:row r="512" spans="2:6">
      <x:c r="B512" s="89">
        <x:v>598</x:v>
      </x:c>
      <x:c r="D512" s="91" t="s">
        <x:v>600</x:v>
      </x:c>
      <x:c r="E512" s="91" t="s">
        <x:v>1228</x:v>
      </x:c>
      <x:c r="F512" s="91" t="s">
        <x:v>1228</x:v>
      </x:c>
    </x:row>
    <x:row r="513" spans="2:6">
      <x:c r="B513" s="89">
        <x:v>599</x:v>
      </x:c>
      <x:c r="D513" s="91" t="s">
        <x:v>558</x:v>
      </x:c>
      <x:c r="E513" s="91" t="s">
        <x:v>1227</x:v>
      </x:c>
      <x:c r="F513" s="91" t="s">
        <x:v>1227</x:v>
      </x:c>
    </x:row>
    <x:row r="514" spans="2:6">
      <x:c r="B514" s="89">
        <x:v>600</x:v>
      </x:c>
      <x:c r="D514" s="91" t="s">
        <x:v>1465</x:v>
      </x:c>
      <x:c r="E514" s="91" t="s">
        <x:v>1465</x:v>
      </x:c>
      <x:c r="F514" s="91" t="s">
        <x:v>1465</x:v>
      </x:c>
    </x:row>
    <x:row r="515" spans="2:6">
      <x:c r="B515" s="89">
        <x:v>601</x:v>
      </x:c>
      <x:c r="D515" s="91" t="s">
        <x:v>1154</x:v>
      </x:c>
      <x:c r="E515" s="91" t="s">
        <x:v>1225</x:v>
      </x:c>
      <x:c r="F515" s="91" t="s">
        <x:v>1225</x:v>
      </x:c>
    </x:row>
    <x:row r="516" spans="2:6" ht="24">
      <x:c r="B516" s="89">
        <x:v>602</x:v>
      </x:c>
      <x:c r="D516" s="91" t="s">
        <x:v>104</x:v>
      </x:c>
      <x:c r="E516" s="91" t="s">
        <x:v>185</x:v>
      </x:c>
      <x:c r="F516" s="91" t="s">
        <x:v>185</x:v>
      </x:c>
    </x:row>
    <x:row r="517" spans="2:6">
      <x:c r="B517" s="89">
        <x:v>603</x:v>
      </x:c>
      <x:c r="D517" s="91" t="s">
        <x:v>727</x:v>
      </x:c>
      <x:c r="E517" s="91" t="s">
        <x:v>727</x:v>
      </x:c>
      <x:c r="F517" s="91" t="s">
        <x:v>727</x:v>
      </x:c>
    </x:row>
    <x:row r="518" spans="2:6">
      <x:c r="B518" s="89">
        <x:v>604</x:v>
      </x:c>
      <x:c r="D518" s="91" t="s">
        <x:v>1019</x:v>
      </x:c>
      <x:c r="E518" s="91" t="s">
        <x:v>1063</x:v>
      </x:c>
      <x:c r="F518" s="91" t="s">
        <x:v>1063</x:v>
      </x:c>
    </x:row>
    <x:row r="519" spans="2:6">
      <x:c r="B519" s="89">
        <x:v>605</x:v>
      </x:c>
      <x:c r="D519" s="91" t="s">
        <x:v>642</x:v>
      </x:c>
      <x:c r="E519" s="91" t="s">
        <x:v>1347</x:v>
      </x:c>
      <x:c r="F519" s="91" t="s">
        <x:v>1347</x:v>
      </x:c>
    </x:row>
    <x:row r="520" spans="2:6">
      <x:c r="B520" s="89">
        <x:v>606</x:v>
      </x:c>
      <x:c r="D520" s="91" t="s">
        <x:v>1273</x:v>
      </x:c>
      <x:c r="F520" s="91"/>
    </x:row>
    <x:row r="521" spans="2:6">
      <x:c r="B521" s="89">
        <x:v>607</x:v>
      </x:c>
      <x:c r="D521" s="91" t="s">
        <x:v>1440</x:v>
      </x:c>
      <x:c r="E521" s="91" t="s">
        <x:v>1481</x:v>
      </x:c>
      <x:c r="F521" s="91" t="s">
        <x:v>1481</x:v>
      </x:c>
    </x:row>
    <x:row r="522" spans="2:6">
      <x:c r="B522" s="89">
        <x:v>608</x:v>
      </x:c>
      <x:c r="C522" s="90" t="s">
        <x:v>1296</x:v>
      </x:c>
      <x:c r="D522" s="91" t="s">
        <x:v>653</x:v>
      </x:c>
      <x:c r="E522" s="91" t="s">
        <x:v>809</x:v>
      </x:c>
      <x:c r="F522" s="91" t="s">
        <x:v>809</x:v>
      </x:c>
    </x:row>
    <x:row r="523" spans="2:6">
      <x:c r="B523" s="89">
        <x:v>609</x:v>
      </x:c>
      <x:c r="D523" s="91" t="s">
        <x:v>732</x:v>
      </x:c>
      <x:c r="E523" s="91" t="s">
        <x:v>1474</x:v>
      </x:c>
      <x:c r="F523" s="91" t="s">
        <x:v>1474</x:v>
      </x:c>
    </x:row>
    <x:row r="524" spans="2:6">
      <x:c r="B524" s="89">
        <x:v>610</x:v>
      </x:c>
      <x:c r="D524" s="91" t="s">
        <x:v>377</x:v>
      </x:c>
      <x:c r="E524" s="91" t="s">
        <x:v>802</x:v>
      </x:c>
      <x:c r="F524" s="91" t="s">
        <x:v>802</x:v>
      </x:c>
    </x:row>
    <x:row r="525" spans="2:6">
      <x:c r="B525" s="89">
        <x:v>611</x:v>
      </x:c>
      <x:c r="D525" s="91" t="s">
        <x:v>714</x:v>
      </x:c>
      <x:c r="E525" s="91" t="s">
        <x:v>1474</x:v>
      </x:c>
      <x:c r="F525" s="91" t="s">
        <x:v>1474</x:v>
      </x:c>
    </x:row>
    <x:row r="526" spans="2:6">
      <x:c r="B526" s="89">
        <x:v>612</x:v>
      </x:c>
      <x:c r="D526" s="91" t="s">
        <x:v>720</x:v>
      </x:c>
      <x:c r="E526" s="91" t="s">
        <x:v>1450</x:v>
      </x:c>
      <x:c r="F526" s="91" t="s">
        <x:v>1450</x:v>
      </x:c>
    </x:row>
    <x:row r="527" spans="2:6">
      <x:c r="B527" s="89">
        <x:v>613</x:v>
      </x:c>
      <x:c r="D527" s="91" t="s">
        <x:v>1102</x:v>
      </x:c>
      <x:c r="E527" s="91" t="s">
        <x:v>1042</x:v>
      </x:c>
      <x:c r="F527" s="91" t="s">
        <x:v>1042</x:v>
      </x:c>
    </x:row>
    <x:row r="528" spans="2:6">
      <x:c r="B528" s="89">
        <x:v>614</x:v>
      </x:c>
      <x:c r="D528" s="91" t="s">
        <x:v>975</x:v>
      </x:c>
      <x:c r="E528" s="91" t="s">
        <x:v>1030</x:v>
      </x:c>
      <x:c r="F528" s="91" t="s">
        <x:v>1030</x:v>
      </x:c>
    </x:row>
    <x:row r="529" spans="2:6">
      <x:c r="B529" s="89">
        <x:v>615</x:v>
      </x:c>
      <x:c r="D529" s="91" t="s">
        <x:v>491</x:v>
      </x:c>
      <x:c r="E529" s="91" t="s">
        <x:v>452</x:v>
      </x:c>
      <x:c r="F529" s="91" t="s">
        <x:v>452</x:v>
      </x:c>
    </x:row>
    <x:row r="530" spans="2:6">
      <x:c r="B530" s="89">
        <x:v>616</x:v>
      </x:c>
      <x:c r="D530" s="91" t="s">
        <x:v>1026</x:v>
      </x:c>
      <x:c r="E530" s="91" t="s">
        <x:v>1369</x:v>
      </x:c>
      <x:c r="F530" s="91" t="s">
        <x:v>1369</x:v>
      </x:c>
    </x:row>
    <x:row r="531" spans="2:6" ht="24">
      <x:c r="B531" s="89">
        <x:v>617</x:v>
      </x:c>
      <x:c r="C531" s="90" t="s">
        <x:v>1328</x:v>
      </x:c>
      <x:c r="D531" s="91" t="s">
        <x:v>57</x:v>
      </x:c>
      <x:c r="E531" s="91" t="s">
        <x:v>125</x:v>
      </x:c>
      <x:c r="F531" s="91" t="s">
        <x:v>125</x:v>
      </x:c>
    </x:row>
    <x:row r="532" spans="2:6" ht="36">
      <x:c r="B532" s="89">
        <x:v>618</x:v>
      </x:c>
      <x:c r="C532" s="90" t="s">
        <x:v>1328</x:v>
      </x:c>
      <x:c r="D532" s="91" t="s">
        <x:v>1415</x:v>
      </x:c>
      <x:c r="E532" s="91" t="s">
        <x:v>44</x:v>
      </x:c>
      <x:c r="F532" s="91" t="s">
        <x:v>44</x:v>
      </x:c>
    </x:row>
    <x:row r="533" spans="2:6">
      <x:c r="B533" s="89">
        <x:v>619</x:v>
      </x:c>
      <x:c r="D533" s="91" t="s">
        <x:v>728</x:v>
      </x:c>
      <x:c r="E533" s="91" t="s">
        <x:v>1488</x:v>
      </x:c>
      <x:c r="F533" s="91" t="s">
        <x:v>1488</x:v>
      </x:c>
    </x:row>
    <x:row r="534" spans="2:6">
      <x:c r="B534" s="89">
        <x:v>620</x:v>
      </x:c>
      <x:c r="D534" s="91" t="s">
        <x:v>646</x:v>
      </x:c>
      <x:c r="E534" s="91" t="s">
        <x:v>836</x:v>
      </x:c>
      <x:c r="F534" s="91" t="s">
        <x:v>836</x:v>
      </x:c>
    </x:row>
    <x:row r="535" spans="2:6">
      <x:c r="B535" s="89">
        <x:v>621</x:v>
      </x:c>
      <x:c r="D535" s="91" t="s">
        <x:v>1333</x:v>
      </x:c>
      <x:c r="E535" s="91" t="s">
        <x:v>1333</x:v>
      </x:c>
      <x:c r="F535" s="91" t="s">
        <x:v>1333</x:v>
      </x:c>
    </x:row>
    <x:row r="536" spans="2:6">
      <x:c r="B536" s="89">
        <x:v>622</x:v>
      </x:c>
      <x:c r="D536" s="91" t="s">
        <x:v>1106</x:v>
      </x:c>
      <x:c r="F536" s="91"/>
    </x:row>
    <x:row r="537" spans="2:6">
      <x:c r="B537" s="89">
        <x:v>623</x:v>
      </x:c>
      <x:c r="D537" s="91" t="s">
        <x:v>583</x:v>
      </x:c>
      <x:c r="F537" s="91"/>
    </x:row>
    <x:row r="538" spans="2:6">
      <x:c r="B538" s="89">
        <x:v>624</x:v>
      </x:c>
      <x:c r="D538" s="91" t="s">
        <x:v>411</x:v>
      </x:c>
      <x:c r="E538" s="91" t="s">
        <x:v>409</x:v>
      </x:c>
      <x:c r="F538" s="91" t="s">
        <x:v>409</x:v>
      </x:c>
    </x:row>
    <x:row r="539" spans="2:6">
      <x:c r="B539" s="89">
        <x:v>625</x:v>
      </x:c>
      <x:c r="D539" s="91" t="s">
        <x:v>1269</x:v>
      </x:c>
      <x:c r="E539" s="91" t="s">
        <x:v>1316</x:v>
      </x:c>
      <x:c r="F539" s="91" t="s">
        <x:v>1316</x:v>
      </x:c>
    </x:row>
    <x:row r="540" spans="2:6">
      <x:c r="B540" s="89">
        <x:v>626</x:v>
      </x:c>
      <x:c r="D540" s="91" t="s">
        <x:v>1138</x:v>
      </x:c>
      <x:c r="E540" s="91" t="s">
        <x:v>1319</x:v>
      </x:c>
      <x:c r="F540" s="91" t="s">
        <x:v>1319</x:v>
      </x:c>
    </x:row>
    <x:row r="541" spans="2:6">
      <x:c r="B541" s="89">
        <x:v>627</x:v>
      </x:c>
      <x:c r="D541" s="91" t="s">
        <x:v>589</x:v>
      </x:c>
      <x:c r="E541" s="91" t="s">
        <x:v>1303</x:v>
      </x:c>
      <x:c r="F541" s="91" t="s">
        <x:v>1303</x:v>
      </x:c>
    </x:row>
    <x:row r="542" spans="2:6">
      <x:c r="B542" s="89">
        <x:v>628</x:v>
      </x:c>
      <x:c r="D542" s="91" t="s">
        <x:v>1130</x:v>
      </x:c>
      <x:c r="E542" s="91" t="s">
        <x:v>1305</x:v>
      </x:c>
      <x:c r="F542" s="91" t="s">
        <x:v>1305</x:v>
      </x:c>
    </x:row>
    <x:row r="543" spans="2:6">
      <x:c r="B543" s="89">
        <x:v>629</x:v>
      </x:c>
      <x:c r="D543" s="91" t="s">
        <x:v>585</x:v>
      </x:c>
      <x:c r="E543" s="91" t="s">
        <x:v>1303</x:v>
      </x:c>
      <x:c r="F543" s="91" t="s">
        <x:v>1303</x:v>
      </x:c>
    </x:row>
    <x:row r="544" spans="1:6" ht="24">
      <x:c r="A544" s="176"/>
      <x:c r="B544" s="89">
        <x:v>630</x:v>
      </x:c>
      <x:c r="C544" s="176"/>
      <x:c r="D544" s="176" t="s">
        <x:v>269</x:v>
      </x:c>
      <x:c r="E544" s="176" t="s">
        <x:v>183</x:v>
      </x:c>
      <x:c r="F544" s="176" t="s">
        <x:v>183</x:v>
      </x:c>
    </x:row>
    <x:row r="545" spans="2:6">
      <x:c r="B545" s="89">
        <x:v>631</x:v>
      </x:c>
      <x:c r="C545" s="90" t="s">
        <x:v>1328</x:v>
      </x:c>
      <x:c r="D545" s="91" t="s">
        <x:v>481</x:v>
      </x:c>
      <x:c r="E545" s="91" t="s">
        <x:v>636</x:v>
      </x:c>
      <x:c r="F545" s="91" t="s">
        <x:v>636</x:v>
      </x:c>
    </x:row>
    <x:row r="546" spans="2:6">
      <x:c r="B546" s="89">
        <x:v>632</x:v>
      </x:c>
      <x:c r="C546" s="90" t="s">
        <x:v>1328</x:v>
      </x:c>
      <x:c r="D546" s="91" t="s">
        <x:v>493</x:v>
      </x:c>
      <x:c r="E546" s="91" t="s">
        <x:v>667</x:v>
      </x:c>
      <x:c r="F546" s="91" t="s">
        <x:v>667</x:v>
      </x:c>
    </x:row>
    <x:row r="547" spans="2:6">
      <x:c r="B547" s="89">
        <x:v>633</x:v>
      </x:c>
      <x:c r="D547" s="91" t="s">
        <x:v>584</x:v>
      </x:c>
      <x:c r="E547" s="91" t="s">
        <x:v>584</x:v>
      </x:c>
      <x:c r="F547" s="91" t="s">
        <x:v>584</x:v>
      </x:c>
    </x:row>
    <x:row r="548" spans="2:6">
      <x:c r="B548" s="89">
        <x:v>634</x:v>
      </x:c>
      <x:c r="D548" s="91" t="s">
        <x:v>212</x:v>
      </x:c>
      <x:c r="E548" s="91" t="s">
        <x:v>1400</x:v>
      </x:c>
      <x:c r="F548" s="91" t="s">
        <x:v>1400</x:v>
      </x:c>
    </x:row>
    <x:row r="549" spans="2:6">
      <x:c r="B549" s="89">
        <x:v>635</x:v>
      </x:c>
      <x:c r="D549" s="91" t="s">
        <x:v>362</x:v>
      </x:c>
      <x:c r="E549" s="91" t="s">
        <x:v>1011</x:v>
      </x:c>
      <x:c r="F549" s="91" t="s">
        <x:v>1011</x:v>
      </x:c>
    </x:row>
    <x:row r="550" spans="2:6">
      <x:c r="B550" s="89">
        <x:v>636</x:v>
      </x:c>
      <x:c r="D550" s="91" t="s">
        <x:v>314</x:v>
      </x:c>
      <x:c r="E550" s="91" t="s">
        <x:v>1023</x:v>
      </x:c>
      <x:c r="F550" s="91" t="s">
        <x:v>1023</x:v>
      </x:c>
    </x:row>
    <x:row r="551" spans="2:6" ht="24">
      <x:c r="B551" s="89">
        <x:v>637</x:v>
      </x:c>
      <x:c r="C551" s="90" t="s">
        <x:v>1328</x:v>
      </x:c>
      <x:c r="D551" s="91" t="s">
        <x:v>245</x:v>
      </x:c>
      <x:c r="E551" s="91" t="s">
        <x:v>293</x:v>
      </x:c>
      <x:c r="F551" s="91" t="s">
        <x:v>293</x:v>
      </x:c>
    </x:row>
    <x:row r="552" spans="2:6">
      <x:c r="B552" s="89">
        <x:v>638</x:v>
      </x:c>
      <x:c r="D552" s="91" t="s">
        <x:v>30</x:v>
      </x:c>
      <x:c r="E552" s="91" t="s">
        <x:v>518</x:v>
      </x:c>
      <x:c r="F552" s="91" t="s">
        <x:v>518</x:v>
      </x:c>
    </x:row>
    <x:row r="553" spans="2:6" ht="36">
      <x:c r="B553" s="89">
        <x:v>639</x:v>
      </x:c>
      <x:c r="C553" s="90" t="s">
        <x:v>1328</x:v>
      </x:c>
      <x:c r="D553" s="91" t="s">
        <x:v>220</x:v>
      </x:c>
      <x:c r="E553" s="91" t="s">
        <x:v>676</x:v>
      </x:c>
      <x:c r="F553" s="91" t="s">
        <x:v>676</x:v>
      </x:c>
    </x:row>
    <x:row r="554" spans="2:6">
      <x:c r="B554" s="89">
        <x:v>640</x:v>
      </x:c>
      <x:c r="D554" s="91" t="s">
        <x:v>272</x:v>
      </x:c>
      <x:c r="E554" s="91" t="s">
        <x:v>640</x:v>
      </x:c>
      <x:c r="F554" s="91" t="s">
        <x:v>640</x:v>
      </x:c>
    </x:row>
    <x:row r="555" spans="2:6">
      <x:c r="B555" s="89">
        <x:v>641</x:v>
      </x:c>
      <x:c r="D555" s="91" t="s">
        <x:v>176</x:v>
      </x:c>
      <x:c r="E555" s="91" t="s">
        <x:v>652</x:v>
      </x:c>
      <x:c r="F555" s="91" t="s">
        <x:v>652</x:v>
      </x:c>
    </x:row>
    <x:row r="556" spans="2:6">
      <x:c r="B556" s="89">
        <x:v>642</x:v>
      </x:c>
      <x:c r="D556" s="91" t="s">
        <x:v>251</x:v>
      </x:c>
      <x:c r="E556" s="91" t="s">
        <x:v>1009</x:v>
      </x:c>
      <x:c r="F556" s="91" t="s">
        <x:v>1009</x:v>
      </x:c>
    </x:row>
    <x:row r="557" spans="2:6" ht="24">
      <x:c r="B557" s="89">
        <x:v>643</x:v>
      </x:c>
      <x:c r="D557" s="91" t="s">
        <x:v>201</x:v>
      </x:c>
      <x:c r="E557" s="91" t="s">
        <x:v>261</x:v>
      </x:c>
      <x:c r="F557" s="91" t="s">
        <x:v>261</x:v>
      </x:c>
    </x:row>
    <x:row r="558" spans="2:6">
      <x:c r="B558" s="89">
        <x:v>644</x:v>
      </x:c>
      <x:c r="D558" s="91" t="s">
        <x:v>126</x:v>
      </x:c>
      <x:c r="E558" s="91" t="s">
        <x:v>652</x:v>
      </x:c>
      <x:c r="F558" s="91" t="s">
        <x:v>652</x:v>
      </x:c>
    </x:row>
    <x:row r="559" spans="2:6">
      <x:c r="B559" s="89">
        <x:v>645</x:v>
      </x:c>
      <x:c r="D559" s="91" t="s">
        <x:v>556</x:v>
      </x:c>
      <x:c r="E559" s="91" t="s">
        <x:v>1229</x:v>
      </x:c>
      <x:c r="F559" s="91" t="s">
        <x:v>1229</x:v>
      </x:c>
    </x:row>
    <x:row r="560" spans="2:6">
      <x:c r="B560" s="89">
        <x:v>646</x:v>
      </x:c>
      <x:c r="D560" s="91" t="s">
        <x:v>1376</x:v>
      </x:c>
      <x:c r="E560" s="91" t="s">
        <x:v>654</x:v>
      </x:c>
      <x:c r="F560" s="91" t="s">
        <x:v>654</x:v>
      </x:c>
    </x:row>
    <x:row r="561" spans="2:6">
      <x:c r="B561" s="89">
        <x:v>647</x:v>
      </x:c>
      <x:c r="D561" s="91" t="s">
        <x:v>132</x:v>
      </x:c>
      <x:c r="E561" s="91" t="s">
        <x:v>643</x:v>
      </x:c>
      <x:c r="F561" s="91" t="s">
        <x:v>643</x:v>
      </x:c>
    </x:row>
    <x:row r="562" spans="2:27">
      <x:c r="B562" s="89">
        <x:v>648</x:v>
      </x:c>
      <x:c r="D562" s="91" t="s">
        <x:v>1380</x:v>
      </x:c>
      <x:c r="E562" s="91" t="s">
        <x:v>648</x:v>
      </x:c>
      <x:c r="F562" s="91" t="s">
        <x:v>648</x:v>
      </x:c>
      <x:c r="G562" s="176"/>
      <x:c r="H562" s="176"/>
      <x:c r="I562" s="176"/>
      <x:c r="J562" s="176"/>
      <x:c r="K562" s="176"/>
      <x:c r="L562" s="176"/>
      <x:c r="M562" s="176"/>
      <x:c r="N562" s="176"/>
      <x:c r="O562" s="176"/>
      <x:c r="P562" s="176"/>
      <x:c r="Q562" s="176"/>
      <x:c r="R562" s="176"/>
      <x:c r="S562" s="176"/>
      <x:c r="T562" s="176"/>
      <x:c r="U562" s="176"/>
      <x:c r="V562" s="176"/>
      <x:c r="W562" s="176"/>
      <x:c r="X562" s="176"/>
      <x:c r="Y562" s="176"/>
      <x:c r="Z562" s="176"/>
      <x:c r="AA562" s="176"/>
    </x:row>
    <x:row r="563" spans="2:27" ht="24">
      <x:c r="B563" s="89">
        <x:v>649</x:v>
      </x:c>
      <x:c r="D563" s="91" t="s">
        <x:v>61</x:v>
      </x:c>
      <x:c r="E563" s="91" t="s">
        <x:v>265</x:v>
      </x:c>
      <x:c r="F563" s="91" t="s">
        <x:v>265</x:v>
      </x:c>
      <x:c r="G563" s="176"/>
      <x:c r="H563" s="176"/>
      <x:c r="I563" s="176"/>
      <x:c r="J563" s="176"/>
      <x:c r="K563" s="176"/>
      <x:c r="L563" s="176"/>
      <x:c r="M563" s="176"/>
      <x:c r="N563" s="176"/>
      <x:c r="O563" s="176"/>
      <x:c r="P563" s="176"/>
      <x:c r="Q563" s="176"/>
      <x:c r="R563" s="176"/>
      <x:c r="S563" s="176"/>
      <x:c r="T563" s="176"/>
      <x:c r="U563" s="176"/>
      <x:c r="V563" s="176"/>
      <x:c r="W563" s="176"/>
      <x:c r="X563" s="176"/>
      <x:c r="Y563" s="176"/>
      <x:c r="Z563" s="176"/>
      <x:c r="AA563" s="176"/>
    </x:row>
    <x:row r="564" spans="2:27">
      <x:c r="B564" s="89">
        <x:v>650</x:v>
      </x:c>
      <x:c r="D564" s="91" t="s">
        <x:v>144</x:v>
      </x:c>
      <x:c r="E564" s="91" t="s">
        <x:v>640</x:v>
      </x:c>
      <x:c r="F564" s="91" t="s">
        <x:v>640</x:v>
      </x:c>
      <x:c r="G564" s="177"/>
      <x:c r="H564" s="177"/>
      <x:c r="I564" s="177"/>
      <x:c r="J564" s="177"/>
      <x:c r="K564" s="177"/>
      <x:c r="L564" s="177"/>
      <x:c r="M564" s="177"/>
      <x:c r="N564" s="177"/>
      <x:c r="O564" s="177"/>
      <x:c r="P564" s="177"/>
      <x:c r="Q564" s="177"/>
      <x:c r="R564" s="177"/>
      <x:c r="S564" s="177"/>
      <x:c r="T564" s="177"/>
      <x:c r="U564" s="177"/>
      <x:c r="V564" s="177"/>
      <x:c r="W564" s="177"/>
      <x:c r="X564" s="177"/>
      <x:c r="Y564" s="177"/>
      <x:c r="Z564" s="177"/>
      <x:c r="AA564" s="177"/>
    </x:row>
    <x:row r="565" spans="2:6" ht="24">
      <x:c r="B565" s="89">
        <x:v>651</x:v>
      </x:c>
      <x:c r="C565" s="90" t="s">
        <x:v>1328</x:v>
      </x:c>
      <x:c r="D565" s="91" t="s">
        <x:v>45</x:v>
      </x:c>
      <x:c r="E565" s="91" t="s">
        <x:v>1002</x:v>
      </x:c>
      <x:c r="F565" s="91" t="s">
        <x:v>1002</x:v>
      </x:c>
    </x:row>
    <x:row r="566" spans="2:27" ht="24">
      <x:c r="B566" s="89">
        <x:v>652</x:v>
      </x:c>
      <x:c r="D566" s="91" t="s">
        <x:v>242</x:v>
      </x:c>
      <x:c r="E566" s="91" t="s">
        <x:v>99</x:v>
      </x:c>
      <x:c r="F566" s="91" t="s">
        <x:v>99</x:v>
      </x:c>
      <x:c r="G566" s="177"/>
      <x:c r="H566" s="177"/>
      <x:c r="I566" s="177"/>
      <x:c r="J566" s="177"/>
      <x:c r="K566" s="177"/>
      <x:c r="L566" s="177"/>
      <x:c r="M566" s="177"/>
      <x:c r="N566" s="177"/>
      <x:c r="O566" s="177"/>
      <x:c r="P566" s="177"/>
      <x:c r="Q566" s="177"/>
      <x:c r="R566" s="177"/>
      <x:c r="S566" s="177"/>
      <x:c r="T566" s="177"/>
      <x:c r="U566" s="177"/>
      <x:c r="V566" s="177"/>
      <x:c r="W566" s="177"/>
      <x:c r="X566" s="177"/>
      <x:c r="Y566" s="177"/>
      <x:c r="Z566" s="177"/>
      <x:c r="AA566" s="177"/>
    </x:row>
    <x:row r="567" spans="2:27" ht="36">
      <x:c r="B567" s="89">
        <x:v>653</x:v>
      </x:c>
      <x:c r="D567" s="91" t="s">
        <x:v>1414</x:v>
      </x:c>
      <x:c r="E567" s="91" t="s">
        <x:v>75</x:v>
      </x:c>
      <x:c r="F567" s="91" t="s">
        <x:v>75</x:v>
      </x:c>
      <x:c r="G567" s="177"/>
      <x:c r="H567" s="177"/>
      <x:c r="I567" s="177"/>
      <x:c r="J567" s="177"/>
      <x:c r="K567" s="177"/>
      <x:c r="L567" s="177"/>
      <x:c r="M567" s="177"/>
      <x:c r="N567" s="177"/>
      <x:c r="O567" s="177"/>
      <x:c r="P567" s="177"/>
      <x:c r="Q567" s="177"/>
      <x:c r="R567" s="177"/>
      <x:c r="S567" s="177"/>
      <x:c r="T567" s="177"/>
      <x:c r="U567" s="177"/>
      <x:c r="V567" s="177"/>
      <x:c r="W567" s="177"/>
      <x:c r="X567" s="177"/>
      <x:c r="Y567" s="177"/>
      <x:c r="Z567" s="177"/>
      <x:c r="AA567" s="177"/>
    </x:row>
    <x:row r="568" spans="2:27">
      <x:c r="B568" s="89">
        <x:v>654</x:v>
      </x:c>
      <x:c r="D568" s="91" t="s">
        <x:v>31</x:v>
      </x:c>
      <x:c r="E568" s="91" t="s">
        <x:v>519</x:v>
      </x:c>
      <x:c r="F568" s="91" t="s">
        <x:v>519</x:v>
      </x:c>
      <x:c r="G568" s="177"/>
      <x:c r="H568" s="177"/>
      <x:c r="I568" s="177"/>
      <x:c r="J568" s="177"/>
      <x:c r="K568" s="177"/>
      <x:c r="L568" s="177"/>
      <x:c r="M568" s="177"/>
      <x:c r="N568" s="177"/>
      <x:c r="O568" s="177"/>
      <x:c r="P568" s="177"/>
      <x:c r="Q568" s="177"/>
      <x:c r="R568" s="177"/>
      <x:c r="S568" s="177"/>
      <x:c r="T568" s="177"/>
      <x:c r="U568" s="177"/>
      <x:c r="V568" s="177"/>
      <x:c r="W568" s="177"/>
      <x:c r="X568" s="177"/>
      <x:c r="Y568" s="177"/>
      <x:c r="Z568" s="177"/>
      <x:c r="AA568" s="177"/>
    </x:row>
    <x:row r="569" spans="2:27" ht="36">
      <x:c r="B569" s="89">
        <x:v>655</x:v>
      </x:c>
      <x:c r="D569" s="91" t="s">
        <x:v>165</x:v>
      </x:c>
      <x:c r="E569" s="91" t="s">
        <x:v>284</x:v>
      </x:c>
      <x:c r="F569" s="91" t="s">
        <x:v>284</x:v>
      </x:c>
      <x:c r="G569" s="177"/>
      <x:c r="H569" s="177"/>
      <x:c r="I569" s="177"/>
      <x:c r="J569" s="177"/>
      <x:c r="K569" s="177"/>
      <x:c r="L569" s="177"/>
      <x:c r="M569" s="177"/>
      <x:c r="N569" s="177"/>
      <x:c r="O569" s="177"/>
      <x:c r="P569" s="177"/>
      <x:c r="Q569" s="177"/>
      <x:c r="R569" s="177"/>
      <x:c r="S569" s="177"/>
      <x:c r="T569" s="177"/>
      <x:c r="U569" s="177"/>
      <x:c r="V569" s="177"/>
      <x:c r="W569" s="177"/>
      <x:c r="X569" s="177"/>
      <x:c r="Y569" s="177"/>
      <x:c r="Z569" s="177"/>
      <x:c r="AA569" s="177"/>
    </x:row>
    <x:row r="570" spans="2:27">
      <x:c r="B570" s="89">
        <x:v>656</x:v>
      </x:c>
      <x:c r="D570" s="91" t="s">
        <x:v>353</x:v>
      </x:c>
      <x:c r="E570" s="91" t="s">
        <x:v>1003</x:v>
      </x:c>
      <x:c r="F570" s="91" t="s">
        <x:v>1003</x:v>
      </x:c>
      <x:c r="G570" s="177"/>
      <x:c r="H570" s="177"/>
      <x:c r="I570" s="177"/>
      <x:c r="J570" s="177"/>
      <x:c r="K570" s="177"/>
      <x:c r="L570" s="177"/>
      <x:c r="M570" s="177"/>
      <x:c r="N570" s="177"/>
      <x:c r="O570" s="177"/>
      <x:c r="P570" s="177"/>
      <x:c r="Q570" s="177"/>
      <x:c r="R570" s="177"/>
      <x:c r="S570" s="177"/>
      <x:c r="T570" s="177"/>
      <x:c r="U570" s="177"/>
      <x:c r="V570" s="177"/>
      <x:c r="W570" s="177"/>
      <x:c r="X570" s="177"/>
      <x:c r="Y570" s="177"/>
      <x:c r="Z570" s="177"/>
      <x:c r="AA570" s="177"/>
    </x:row>
    <x:row r="571" spans="2:27">
      <x:c r="B571" s="89">
        <x:v>657</x:v>
      </x:c>
      <x:c r="D571" s="91" t="s">
        <x:v>1379</x:v>
      </x:c>
      <x:c r="E571" s="91" t="s">
        <x:v>1320</x:v>
      </x:c>
      <x:c r="F571" s="91" t="s">
        <x:v>1320</x:v>
      </x:c>
      <x:c r="G571" s="177"/>
      <x:c r="H571" s="177"/>
      <x:c r="I571" s="177"/>
      <x:c r="J571" s="177"/>
      <x:c r="K571" s="177"/>
      <x:c r="L571" s="177"/>
      <x:c r="M571" s="177"/>
      <x:c r="N571" s="177"/>
      <x:c r="O571" s="177"/>
      <x:c r="P571" s="177"/>
      <x:c r="Q571" s="177"/>
      <x:c r="R571" s="177"/>
      <x:c r="S571" s="177"/>
      <x:c r="T571" s="177"/>
      <x:c r="U571" s="177"/>
      <x:c r="V571" s="177"/>
      <x:c r="W571" s="177"/>
      <x:c r="X571" s="177"/>
      <x:c r="Y571" s="177"/>
      <x:c r="Z571" s="177"/>
      <x:c r="AA571" s="177"/>
    </x:row>
    <x:row r="572" spans="2:27">
      <x:c r="B572" s="89">
        <x:v>658</x:v>
      </x:c>
      <x:c r="D572" s="91" t="s">
        <x:v>971</x:v>
      </x:c>
      <x:c r="E572" s="91" t="s">
        <x:v>658</x:v>
      </x:c>
      <x:c r="F572" s="91" t="s">
        <x:v>658</x:v>
      </x:c>
      <x:c r="G572" s="177"/>
      <x:c r="H572" s="177"/>
      <x:c r="I572" s="177"/>
      <x:c r="J572" s="177"/>
      <x:c r="K572" s="177"/>
      <x:c r="L572" s="177"/>
      <x:c r="M572" s="177"/>
      <x:c r="N572" s="177"/>
      <x:c r="O572" s="177"/>
      <x:c r="P572" s="177"/>
      <x:c r="Q572" s="177"/>
      <x:c r="R572" s="177"/>
      <x:c r="S572" s="177"/>
      <x:c r="T572" s="177"/>
      <x:c r="U572" s="177"/>
      <x:c r="V572" s="177"/>
      <x:c r="W572" s="177"/>
      <x:c r="X572" s="177"/>
      <x:c r="Y572" s="177"/>
      <x:c r="Z572" s="177"/>
      <x:c r="AA572" s="177"/>
    </x:row>
    <x:row r="573" spans="2:27">
      <x:c r="B573" s="89">
        <x:v>659</x:v>
      </x:c>
      <x:c r="D573" s="91" t="s">
        <x:v>984</x:v>
      </x:c>
      <x:c r="E573" s="91" t="s">
        <x:v>662</x:v>
      </x:c>
      <x:c r="F573" s="91" t="s">
        <x:v>662</x:v>
      </x:c>
      <x:c r="G573" s="177"/>
      <x:c r="H573" s="177"/>
      <x:c r="I573" s="177"/>
      <x:c r="J573" s="177"/>
      <x:c r="K573" s="177"/>
      <x:c r="L573" s="177"/>
      <x:c r="M573" s="177"/>
      <x:c r="N573" s="177"/>
      <x:c r="O573" s="177"/>
      <x:c r="P573" s="177"/>
      <x:c r="Q573" s="177"/>
      <x:c r="R573" s="177"/>
      <x:c r="S573" s="177"/>
      <x:c r="T573" s="177"/>
      <x:c r="U573" s="177"/>
      <x:c r="V573" s="177"/>
      <x:c r="W573" s="177"/>
      <x:c r="X573" s="177"/>
      <x:c r="Y573" s="177"/>
      <x:c r="Z573" s="177"/>
      <x:c r="AA573" s="177"/>
    </x:row>
    <x:row r="574" spans="2:27">
      <x:c r="B574" s="89">
        <x:v>660</x:v>
      </x:c>
      <x:c r="D574" s="91" t="s">
        <x:v>986</x:v>
      </x:c>
      <x:c r="E574" s="91" t="s">
        <x:v>547</x:v>
      </x:c>
      <x:c r="F574" s="91" t="s">
        <x:v>547</x:v>
      </x:c>
      <x:c r="G574" s="177"/>
      <x:c r="H574" s="177"/>
      <x:c r="I574" s="177"/>
      <x:c r="J574" s="177"/>
      <x:c r="K574" s="177"/>
      <x:c r="L574" s="177"/>
      <x:c r="M574" s="177"/>
      <x:c r="N574" s="177"/>
      <x:c r="O574" s="177"/>
      <x:c r="P574" s="177"/>
      <x:c r="Q574" s="177"/>
      <x:c r="R574" s="177"/>
      <x:c r="S574" s="177"/>
      <x:c r="T574" s="177"/>
      <x:c r="U574" s="177"/>
      <x:c r="V574" s="177"/>
      <x:c r="W574" s="177"/>
      <x:c r="X574" s="177"/>
      <x:c r="Y574" s="177"/>
      <x:c r="Z574" s="177"/>
      <x:c r="AA574" s="177"/>
    </x:row>
    <x:row r="575" spans="2:27">
      <x:c r="B575" s="89">
        <x:v>661</x:v>
      </x:c>
      <x:c r="D575" s="91" t="s">
        <x:v>296</x:v>
      </x:c>
      <x:c r="E575" s="91" t="s">
        <x:v>548</x:v>
      </x:c>
      <x:c r="F575" s="91" t="s">
        <x:v>548</x:v>
      </x:c>
      <x:c r="G575" s="177"/>
      <x:c r="H575" s="177"/>
      <x:c r="I575" s="177"/>
      <x:c r="J575" s="177"/>
      <x:c r="K575" s="177"/>
      <x:c r="L575" s="177"/>
      <x:c r="M575" s="177"/>
      <x:c r="N575" s="177"/>
      <x:c r="O575" s="177"/>
      <x:c r="P575" s="177"/>
      <x:c r="Q575" s="177"/>
      <x:c r="R575" s="177"/>
      <x:c r="S575" s="177"/>
      <x:c r="T575" s="177"/>
      <x:c r="U575" s="177"/>
      <x:c r="V575" s="177"/>
      <x:c r="W575" s="177"/>
      <x:c r="X575" s="177"/>
      <x:c r="Y575" s="177"/>
      <x:c r="Z575" s="177"/>
      <x:c r="AA575" s="177"/>
    </x:row>
    <x:row r="576" spans="2:6">
      <x:c r="B576" s="89">
        <x:v>662</x:v>
      </x:c>
      <x:c r="D576" s="91" t="s">
        <x:v>881</x:v>
      </x:c>
      <x:c r="E576" s="91" t="s">
        <x:v>1516</x:v>
      </x:c>
      <x:c r="F576" s="91" t="s">
        <x:v>1516</x:v>
      </x:c>
    </x:row>
    <x:row r="577" spans="2:6">
      <x:c r="B577" s="89">
        <x:v>663</x:v>
      </x:c>
      <x:c r="D577" s="91" t="s">
        <x:v>1532</x:v>
      </x:c>
      <x:c r="E577" s="91" t="s">
        <x:v>1547</x:v>
      </x:c>
      <x:c r="F577" s="91" t="s">
        <x:v>1547</x:v>
      </x:c>
    </x:row>
    <x:row r="578" spans="2:6">
      <x:c r="B578" s="89">
        <x:v>664</x:v>
      </x:c>
      <x:c r="D578" s="91" t="s">
        <x:v>1410</x:v>
      </x:c>
      <x:c r="E578" s="91" t="s">
        <x:v>1066</x:v>
      </x:c>
      <x:c r="F578" s="91" t="s">
        <x:v>1066</x:v>
      </x:c>
    </x:row>
    <x:row r="579" spans="2:6">
      <x:c r="B579" s="89">
        <x:v>665</x:v>
      </x:c>
      <x:c r="D579" s="91" t="s">
        <x:v>1068</x:v>
      </x:c>
      <x:c r="E579" s="91" t="s">
        <x:v>872</x:v>
      </x:c>
      <x:c r="F579" s="91" t="s">
        <x:v>872</x:v>
      </x:c>
    </x:row>
    <x:row r="580" spans="2:6">
      <x:c r="B580" s="89">
        <x:v>666</x:v>
      </x:c>
      <x:c r="D580" s="91" t="s">
        <x:v>838</x:v>
      </x:c>
      <x:c r="E580" s="91" t="s">
        <x:v>1540</x:v>
      </x:c>
      <x:c r="F580" s="91" t="s">
        <x:v>1540</x:v>
      </x:c>
    </x:row>
    <x:row r="581" spans="2:6">
      <x:c r="B581" s="89">
        <x:v>667</x:v>
      </x:c>
      <x:c r="D581" s="91" t="s">
        <x:v>842</x:v>
      </x:c>
      <x:c r="E581" s="91" t="s">
        <x:v>1535</x:v>
      </x:c>
      <x:c r="F581" s="91" t="s">
        <x:v>1535</x:v>
      </x:c>
    </x:row>
    <x:row r="582" spans="2:6">
      <x:c r="B582" s="89">
        <x:v>667</x:v>
      </x:c>
      <x:c r="D582" s="91" t="s">
        <x:v>887</x:v>
      </x:c>
      <x:c r="E582" s="91" t="s">
        <x:v>1531</x:v>
      </x:c>
      <x:c r="F582" s="91" t="s">
        <x:v>1531</x:v>
      </x:c>
    </x:row>
    <x:row r="583" spans="2:6">
      <x:c r="B583" s="89">
        <x:v>667</x:v>
      </x:c>
      <x:c r="D583" s="91" t="s">
        <x:v>543</x:v>
      </x:c>
      <x:c r="E583" s="91" t="s">
        <x:v>1371</x:v>
      </x:c>
      <x:c r="F583" s="91" t="s">
        <x:v>1371</x:v>
      </x:c>
    </x:row>
  </x:sheetData>
  <x:sortState columnSort="0" caseSensitive="0" ref="A14:AA575">
    <x:sortCondition descending="0" sortBy="value" ref="D14:D575"/>
  </x:sortState>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8.xml><?xml version="1.0" encoding="utf-8"?>
<x:worksheet xmlns:r="http://schemas.openxmlformats.org/officeDocument/2006/relationships" xmlns:c="http://schemas.openxmlformats.org/drawingml/2006/chart" xmlns:x="http://schemas.openxmlformats.org/spreadsheetml/2006/main">
  <x:sheetPr codeName="Sheet13"/>
  <x:dimension ref="A1:AD96"/>
  <x:sheetViews>
    <x:sheetView topLeftCell="A7" zoomScale="81" zoomScaleNormal="81" zoomScaleSheetLayoutView="75" workbookViewId="0">
      <x:selection activeCell="J30" activeCellId="0" sqref="J30:J30"/>
    </x:sheetView>
  </x:sheetViews>
  <x:sheetFormatPr defaultColWidth="10.625" defaultRowHeight="14.199999999999999"/>
  <x:cols>
    <x:col min="1" max="1" width="9.5" style="129" bestFit="1" customWidth="1"/>
    <x:col min="2" max="2" width="9.75" style="129" bestFit="1" customWidth="1"/>
    <x:col min="3" max="12" width="11.375" style="129" bestFit="1" customWidth="1"/>
    <x:col min="13" max="13" width="31.875" style="129" bestFit="1" customWidth="1"/>
    <x:col min="14" max="14" width="14.625" style="129" bestFit="1" customWidth="1"/>
    <x:col min="15" max="16" width="10.5" style="129" bestFit="1" customWidth="1"/>
    <x:col min="17" max="17" width="15.5" style="129" bestFit="1" customWidth="1"/>
    <x:col min="18" max="18" width="17.125" style="129" bestFit="1" customWidth="1"/>
    <x:col min="19" max="19" width="13.25" style="129" bestFit="1" customWidth="1"/>
    <x:col min="20" max="20" width="19.875" style="129" bestFit="1" customWidth="1"/>
    <x:col min="21" max="21" width="14.375" style="129" bestFit="1" customWidth="1"/>
    <x:col min="22" max="22" width="14.125" style="130" bestFit="1" customWidth="1"/>
    <x:col min="23" max="23" width="15.5" style="129" bestFit="1" customWidth="1"/>
    <x:col min="24" max="24" width="19.375" style="131" bestFit="1" customWidth="1"/>
    <x:col min="25" max="25" width="9.5" style="131" bestFit="1" customWidth="1"/>
    <x:col min="26" max="26" width="10.875" style="131" bestFit="1" customWidth="1"/>
    <x:col min="27" max="27" width="10.875" style="130" bestFit="1" customWidth="1"/>
    <x:col min="28" max="28" width="12.5" style="130" bestFit="1" customWidth="1"/>
    <x:col min="29" max="29" width="12.875" style="130" bestFit="1" customWidth="1"/>
    <x:col min="30" max="30" width="15.75" style="129" bestFit="1" customWidth="1"/>
    <x:col min="31" max="32" width="10.625" style="129"/>
    <x:col min="33" max="16384" width="10.625" style="130"/>
  </x:cols>
  <x:sheetData>
    <x:row r="1" spans="1:30">
      <x:c r="A1" s="133" t="s">
        <x:v>413</x:v>
      </x:c>
      <x:c r="B1" s="133" t="s">
        <x:v>1436</x:v>
      </x:c>
      <x:c r="C1" s="133" t="s">
        <x:v>405</x:v>
      </x:c>
      <x:c r="D1" s="133" t="s">
        <x:v>403</x:v>
      </x:c>
      <x:c r="E1" s="133" t="s">
        <x:v>404</x:v>
      </x:c>
      <x:c r="F1" s="133" t="s">
        <x:v>406</x:v>
      </x:c>
      <x:c r="G1" s="133" t="s">
        <x:v>401</x:v>
      </x:c>
      <x:c r="H1" s="133" t="s">
        <x:v>400</x:v>
      </x:c>
      <x:c r="I1" s="133" t="s">
        <x:v>402</x:v>
      </x:c>
      <x:c r="J1" s="133" t="s">
        <x:v>412</x:v>
      </x:c>
      <x:c r="K1" s="133" t="s">
        <x:v>410</x:v>
      </x:c>
      <x:c r="L1" s="133" t="s">
        <x:v>408</x:v>
      </x:c>
      <x:c r="M1" s="133" t="s">
        <x:v>722</x:v>
      </x:c>
      <x:c r="N1" s="133" t="s">
        <x:v>368</x:v>
      </x:c>
      <x:c r="O1" s="133" t="s">
        <x:v>723</x:v>
      </x:c>
      <x:c r="P1" s="133" t="s">
        <x:v>706</x:v>
      </x:c>
      <x:c r="Q1" s="133" t="s">
        <x:v>1357</x:v>
      </x:c>
      <x:c r="R1" s="133" t="s">
        <x:v>1027</x:v>
      </x:c>
      <x:c r="S1" s="133" t="s">
        <x:v>407</x:v>
      </x:c>
      <x:c r="T1" s="133" t="s">
        <x:v>1060</x:v>
      </x:c>
      <x:c r="U1" s="133" t="s">
        <x:v>1298</x:v>
      </x:c>
      <x:c r="V1" s="134" t="s">
        <x:v>1302</x:v>
      </x:c>
      <x:c r="W1" s="133" t="s">
        <x:v>1306</x:v>
      </x:c>
      <x:c r="X1" s="135" t="s">
        <x:v>1071</x:v>
      </x:c>
      <x:c r="Y1" s="135" t="s">
        <x:v>1185</x:v>
      </x:c>
      <x:c r="Z1" s="135" t="s">
        <x:v>1188</x:v>
      </x:c>
      <x:c r="AA1" s="134" t="s">
        <x:v>395</x:v>
      </x:c>
      <x:c r="AB1" s="134" t="s">
        <x:v>1353</x:v>
      </x:c>
      <x:c r="AC1" s="134" t="s">
        <x:v>399</x:v>
      </x:c>
      <x:c r="AD1" s="133" t="s">
        <x:v>1304</x:v>
      </x:c>
    </x:row>
    <x:row r="2" spans="1:29">
      <x:c r="A2" s="132" t="s">
        <x:v>1480</x:v>
      </x:c>
      <x:c r="B2" s="132" t="s">
        <x:v>810</x:v>
      </x:c>
      <x:c r="C2" s="132" t="s">
        <x:v>1468</x:v>
      </x:c>
      <x:c r="D2" s="132" t="s">
        <x:v>1477</x:v>
      </x:c>
      <x:c r="E2" s="132" t="s">
        <x:v>810</x:v>
      </x:c>
      <x:c r="M2" s="132" t="s">
        <x:v>889</x:v>
      </x:c>
      <x:c r="N2" s="132" t="s">
        <x:v>1511</x:v>
      </x:c>
      <x:c r="O2" s="128">
        <x:v>44336</x:v>
      </x:c>
      <x:c r="P2" s="128">
        <x:v>44337</x:v>
      </x:c>
      <x:c r="Q2" s="128">
        <x:v>44336</x:v>
      </x:c>
      <x:c r="R2" s="128">
        <x:v>44338</x:v>
      </x:c>
      <x:c r="S2" s="129">
        <x:v>21</x:v>
      </x:c>
      <x:c r="T2" s="129">
        <x:v>1</x:v>
      </x:c>
      <x:c r="U2" s="129">
        <x:v>2</x:v>
      </x:c>
      <x:c r="V2" s="130">
        <x:v>2</x:v>
      </x:c>
      <x:c r="W2" s="129">
        <x:v>0</x:v>
      </x:c>
      <x:c r="X2" s="131">
        <x:v>1</x:v>
      </x:c>
      <x:c r="Y2" s="131">
        <x:v>1</x:v>
      </x:c>
      <x:c r="Z2" s="131">
        <x:v>1</x:v>
      </x:c>
      <x:c r="AC2" s="130">
        <x:v>0</x:v>
      </x:c>
    </x:row>
    <x:row r="3" spans="1:29">
      <x:c r="A3" s="132" t="s">
        <x:v>1480</x:v>
      </x:c>
      <x:c r="B3" s="132" t="s">
        <x:v>810</x:v>
      </x:c>
      <x:c r="C3" s="132" t="s">
        <x:v>1468</x:v>
      </x:c>
      <x:c r="D3" s="132" t="s">
        <x:v>1477</x:v>
      </x:c>
      <x:c r="E3" s="132" t="s">
        <x:v>810</x:v>
      </x:c>
      <x:c r="M3" s="132" t="s">
        <x:v>889</x:v>
      </x:c>
      <x:c r="N3" s="132" t="s">
        <x:v>1506</x:v>
      </x:c>
      <x:c r="O3" s="128">
        <x:v>44336</x:v>
      </x:c>
      <x:c r="P3" s="128">
        <x:v>44337</x:v>
      </x:c>
      <x:c r="Q3" s="128">
        <x:v>44336</x:v>
      </x:c>
      <x:c r="R3" s="128">
        <x:v>44338</x:v>
      </x:c>
      <x:c r="S3" s="129">
        <x:v>21</x:v>
      </x:c>
      <x:c r="T3" s="129">
        <x:v>1</x:v>
      </x:c>
      <x:c r="U3" s="129">
        <x:v>2</x:v>
      </x:c>
      <x:c r="V3" s="130">
        <x:v>2</x:v>
      </x:c>
      <x:c r="W3" s="129">
        <x:v>0</x:v>
      </x:c>
      <x:c r="X3" s="131">
        <x:v>1</x:v>
      </x:c>
      <x:c r="Y3" s="131">
        <x:v>1</x:v>
      </x:c>
      <x:c r="Z3" s="131">
        <x:v>1</x:v>
      </x:c>
      <x:c r="AC3" s="130">
        <x:v>0</x:v>
      </x:c>
    </x:row>
    <x:row r="4" spans="1:29">
      <x:c r="A4" s="132" t="s">
        <x:v>1470</x:v>
      </x:c>
      <x:c r="B4" s="132" t="s">
        <x:v>890</x:v>
      </x:c>
      <x:c r="C4" s="132" t="s">
        <x:v>1468</x:v>
      </x:c>
      <x:c r="D4" s="132" t="s">
        <x:v>1477</x:v>
      </x:c>
      <x:c r="E4" s="132" t="s">
        <x:v>807</x:v>
      </x:c>
      <x:c r="F4" s="132" t="s">
        <x:v>890</x:v>
      </x:c>
      <x:c r="M4" s="132" t="s">
        <x:v>394</x:v>
      </x:c>
      <x:c r="N4" s="132" t="s">
        <x:v>1511</x:v>
      </x:c>
      <x:c r="O4" s="128">
        <x:v>44340</x:v>
      </x:c>
      <x:c r="P4" s="128">
        <x:v>44346</x:v>
      </x:c>
      <x:c r="Q4" s="128">
        <x:v>44336</x:v>
      </x:c>
      <x:c r="R4" s="128">
        <x:v>44338</x:v>
      </x:c>
      <x:c r="S4" s="129">
        <x:v>21</x:v>
      </x:c>
      <x:c r="T4" s="129">
        <x:v>1</x:v>
      </x:c>
      <x:c r="U4" s="129">
        <x:v>0</x:v>
      </x:c>
      <x:c r="V4" s="130">
        <x:v>0</x:v>
      </x:c>
      <x:c r="W4" s="129">
        <x:v>0</x:v>
      </x:c>
      <x:c r="X4" s="131">
        <x:v>1</x:v>
      </x:c>
      <x:c r="Y4" s="131">
        <x:v>1</x:v>
      </x:c>
      <x:c r="Z4" s="131">
        <x:v>0.90000000000000002</x:v>
      </x:c>
      <x:c r="AC4" s="130">
        <x:v>0</x:v>
      </x:c>
    </x:row>
    <x:row r="5" spans="1:29">
      <x:c r="A5" s="132" t="s">
        <x:v>1470</x:v>
      </x:c>
      <x:c r="B5" s="132" t="s">
        <x:v>890</x:v>
      </x:c>
      <x:c r="C5" s="132" t="s">
        <x:v>1468</x:v>
      </x:c>
      <x:c r="D5" s="132" t="s">
        <x:v>1477</x:v>
      </x:c>
      <x:c r="E5" s="132" t="s">
        <x:v>807</x:v>
      </x:c>
      <x:c r="F5" s="132" t="s">
        <x:v>890</x:v>
      </x:c>
      <x:c r="M5" s="132" t="s">
        <x:v>394</x:v>
      </x:c>
      <x:c r="N5" s="132" t="s">
        <x:v>1511</x:v>
      </x:c>
      <x:c r="O5" s="128">
        <x:v>44340</x:v>
      </x:c>
      <x:c r="P5" s="128">
        <x:v>44346</x:v>
      </x:c>
      <x:c r="Q5" s="128">
        <x:v>44339</x:v>
      </x:c>
      <x:c r="R5" s="128">
        <x:v>44345</x:v>
      </x:c>
      <x:c r="S5" s="129">
        <x:v>22</x:v>
      </x:c>
      <x:c r="T5" s="129">
        <x:v>2</x:v>
      </x:c>
      <x:c r="U5" s="129">
        <x:v>5</x:v>
      </x:c>
      <x:c r="V5" s="130">
        <x:v>5</x:v>
      </x:c>
      <x:c r="W5" s="129">
        <x:v>0</x:v>
      </x:c>
      <x:c r="X5" s="131">
        <x:v>1</x:v>
      </x:c>
      <x:c r="Y5" s="131">
        <x:v>1</x:v>
      </x:c>
      <x:c r="Z5" s="131">
        <x:v>0.90000000000000002</x:v>
      </x:c>
      <x:c r="AC5" s="130">
        <x:v>0</x:v>
      </x:c>
    </x:row>
    <x:row r="6" spans="1:29">
      <x:c r="A6" s="132" t="s">
        <x:v>1470</x:v>
      </x:c>
      <x:c r="B6" s="132" t="s">
        <x:v>890</x:v>
      </x:c>
      <x:c r="C6" s="132" t="s">
        <x:v>1468</x:v>
      </x:c>
      <x:c r="D6" s="132" t="s">
        <x:v>1477</x:v>
      </x:c>
      <x:c r="E6" s="132" t="s">
        <x:v>807</x:v>
      </x:c>
      <x:c r="F6" s="132" t="s">
        <x:v>890</x:v>
      </x:c>
      <x:c r="M6" s="132" t="s">
        <x:v>394</x:v>
      </x:c>
      <x:c r="N6" s="132" t="s">
        <x:v>1511</x:v>
      </x:c>
      <x:c r="O6" s="128">
        <x:v>44340</x:v>
      </x:c>
      <x:c r="P6" s="128">
        <x:v>44346</x:v>
      </x:c>
      <x:c r="Q6" s="128">
        <x:v>44346</x:v>
      </x:c>
      <x:c r="R6" s="128">
        <x:v>44352</x:v>
      </x:c>
      <x:c r="S6" s="129">
        <x:v>23</x:v>
      </x:c>
      <x:c r="T6" s="129">
        <x:v>3</x:v>
      </x:c>
      <x:c r="U6" s="129">
        <x:v>0</x:v>
      </x:c>
      <x:c r="V6" s="130">
        <x:v>0</x:v>
      </x:c>
      <x:c r="W6" s="129">
        <x:v>0</x:v>
      </x:c>
      <x:c r="X6" s="131">
        <x:v>1</x:v>
      </x:c>
      <x:c r="Y6" s="131">
        <x:v>1</x:v>
      </x:c>
      <x:c r="Z6" s="131">
        <x:v>0.90000000000000002</x:v>
      </x:c>
      <x:c r="AC6" s="130">
        <x:v>0</x:v>
      </x:c>
    </x:row>
    <x:row r="7" spans="1:29">
      <x:c r="A7" s="132" t="s">
        <x:v>1470</x:v>
      </x:c>
      <x:c r="B7" s="132" t="s">
        <x:v>874</x:v>
      </x:c>
      <x:c r="C7" s="132" t="s">
        <x:v>1468</x:v>
      </x:c>
      <x:c r="D7" s="132" t="s">
        <x:v>1477</x:v>
      </x:c>
      <x:c r="E7" s="132" t="s">
        <x:v>807</x:v>
      </x:c>
      <x:c r="F7" s="132" t="s">
        <x:v>874</x:v>
      </x:c>
      <x:c r="M7" s="132" t="s">
        <x:v>1363</x:v>
      </x:c>
      <x:c r="N7" s="132" t="s">
        <x:v>1511</x:v>
      </x:c>
      <x:c r="O7" s="128">
        <x:v>44358</x:v>
      </x:c>
      <x:c r="P7" s="128">
        <x:v>44358</x:v>
      </x:c>
      <x:c r="Q7" s="128">
        <x:v>44353</x:v>
      </x:c>
      <x:c r="R7" s="128">
        <x:v>44359</x:v>
      </x:c>
      <x:c r="S7" s="129">
        <x:v>24</x:v>
      </x:c>
      <x:c r="T7" s="129">
        <x:v>4</x:v>
      </x:c>
      <x:c r="U7" s="129">
        <x:v>0</x:v>
      </x:c>
      <x:c r="V7" s="130">
        <x:v>0</x:v>
      </x:c>
      <x:c r="W7" s="129">
        <x:v>0</x:v>
      </x:c>
      <x:c r="X7" s="131">
        <x:v>0</x:v>
      </x:c>
      <x:c r="Y7" s="131">
        <x:v>0</x:v>
      </x:c>
      <x:c r="Z7" s="131">
        <x:v>0</x:v>
      </x:c>
      <x:c r="AC7" s="130">
        <x:v>0</x:v>
      </x:c>
    </x:row>
    <x:row r="8" spans="1:29">
      <x:c r="A8" s="132" t="s">
        <x:v>1480</x:v>
      </x:c>
      <x:c r="B8" s="132" t="s">
        <x:v>816</x:v>
      </x:c>
      <x:c r="C8" s="132" t="s">
        <x:v>1468</x:v>
      </x:c>
      <x:c r="D8" s="132" t="s">
        <x:v>1476</x:v>
      </x:c>
      <x:c r="E8" s="132" t="s">
        <x:v>816</x:v>
      </x:c>
      <x:c r="M8" s="132" t="s">
        <x:v>882</x:v>
      </x:c>
      <x:c r="N8" s="132" t="s">
        <x:v>1538</x:v>
      </x:c>
      <x:c r="O8" s="128">
        <x:v>44361</x:v>
      </x:c>
      <x:c r="P8" s="128">
        <x:v>44365</x:v>
      </x:c>
      <x:c r="Q8" s="128">
        <x:v>44336</x:v>
      </x:c>
      <x:c r="R8" s="128">
        <x:v>44338</x:v>
      </x:c>
      <x:c r="S8" s="129">
        <x:v>21</x:v>
      </x:c>
      <x:c r="T8" s="129">
        <x:v>1</x:v>
      </x:c>
      <x:c r="U8" s="129">
        <x:v>0</x:v>
      </x:c>
      <x:c r="V8" s="130">
        <x:v>0</x:v>
      </x:c>
      <x:c r="W8" s="129">
        <x:v>0</x:v>
      </x:c>
      <x:c r="X8" s="131">
        <x:v>0.20000000000000001</x:v>
      </x:c>
      <x:c r="Y8" s="131">
        <x:v>0</x:v>
      </x:c>
      <x:c r="Z8" s="131">
        <x:v>0.5</x:v>
      </x:c>
      <x:c r="AC8" s="130">
        <x:v>0</x:v>
      </x:c>
    </x:row>
    <x:row r="9" spans="1:29">
      <x:c r="A9" s="132" t="s">
        <x:v>1480</x:v>
      </x:c>
      <x:c r="B9" s="132" t="s">
        <x:v>816</x:v>
      </x:c>
      <x:c r="C9" s="132" t="s">
        <x:v>1468</x:v>
      </x:c>
      <x:c r="D9" s="132" t="s">
        <x:v>1476</x:v>
      </x:c>
      <x:c r="E9" s="132" t="s">
        <x:v>816</x:v>
      </x:c>
      <x:c r="M9" s="132" t="s">
        <x:v>882</x:v>
      </x:c>
      <x:c r="N9" s="132" t="s">
        <x:v>1538</x:v>
      </x:c>
      <x:c r="O9" s="128">
        <x:v>44361</x:v>
      </x:c>
      <x:c r="P9" s="128">
        <x:v>44365</x:v>
      </x:c>
      <x:c r="Q9" s="128">
        <x:v>44339</x:v>
      </x:c>
      <x:c r="R9" s="128">
        <x:v>44345</x:v>
      </x:c>
      <x:c r="S9" s="129">
        <x:v>22</x:v>
      </x:c>
      <x:c r="T9" s="129">
        <x:v>2</x:v>
      </x:c>
      <x:c r="U9" s="129">
        <x:v>0</x:v>
      </x:c>
      <x:c r="V9" s="130">
        <x:v>0</x:v>
      </x:c>
      <x:c r="W9" s="129">
        <x:v>0</x:v>
      </x:c>
      <x:c r="X9" s="131">
        <x:v>0.20000000000000001</x:v>
      </x:c>
      <x:c r="Y9" s="131">
        <x:v>0</x:v>
      </x:c>
      <x:c r="Z9" s="131">
        <x:v>0.5</x:v>
      </x:c>
      <x:c r="AC9" s="130">
        <x:v>0</x:v>
      </x:c>
    </x:row>
    <x:row r="10" spans="1:29">
      <x:c r="A10" s="132" t="s">
        <x:v>1480</x:v>
      </x:c>
      <x:c r="B10" s="132" t="s">
        <x:v>816</x:v>
      </x:c>
      <x:c r="C10" s="132" t="s">
        <x:v>1468</x:v>
      </x:c>
      <x:c r="D10" s="132" t="s">
        <x:v>1476</x:v>
      </x:c>
      <x:c r="E10" s="132" t="s">
        <x:v>816</x:v>
      </x:c>
      <x:c r="M10" s="132" t="s">
        <x:v>882</x:v>
      </x:c>
      <x:c r="N10" s="132" t="s">
        <x:v>1538</x:v>
      </x:c>
      <x:c r="O10" s="128">
        <x:v>44361</x:v>
      </x:c>
      <x:c r="P10" s="128">
        <x:v>44365</x:v>
      </x:c>
      <x:c r="Q10" s="128">
        <x:v>44346</x:v>
      </x:c>
      <x:c r="R10" s="128">
        <x:v>44352</x:v>
      </x:c>
      <x:c r="S10" s="129">
        <x:v>23</x:v>
      </x:c>
      <x:c r="T10" s="129">
        <x:v>3</x:v>
      </x:c>
      <x:c r="U10" s="129">
        <x:v>0</x:v>
      </x:c>
      <x:c r="V10" s="130">
        <x:v>0</x:v>
      </x:c>
      <x:c r="W10" s="129">
        <x:v>0</x:v>
      </x:c>
      <x:c r="X10" s="131">
        <x:v>0.20000000000000001</x:v>
      </x:c>
      <x:c r="Y10" s="131">
        <x:v>0</x:v>
      </x:c>
      <x:c r="Z10" s="131">
        <x:v>0.5</x:v>
      </x:c>
      <x:c r="AC10" s="130">
        <x:v>0</x:v>
      </x:c>
    </x:row>
    <x:row r="11" spans="1:29">
      <x:c r="A11" s="132" t="s">
        <x:v>1480</x:v>
      </x:c>
      <x:c r="B11" s="132" t="s">
        <x:v>816</x:v>
      </x:c>
      <x:c r="C11" s="132" t="s">
        <x:v>1468</x:v>
      </x:c>
      <x:c r="D11" s="132" t="s">
        <x:v>1476</x:v>
      </x:c>
      <x:c r="E11" s="132" t="s">
        <x:v>816</x:v>
      </x:c>
      <x:c r="M11" s="132" t="s">
        <x:v>882</x:v>
      </x:c>
      <x:c r="N11" s="132" t="s">
        <x:v>1538</x:v>
      </x:c>
      <x:c r="O11" s="128">
        <x:v>44361</x:v>
      </x:c>
      <x:c r="P11" s="128">
        <x:v>44365</x:v>
      </x:c>
      <x:c r="Q11" s="128">
        <x:v>44353</x:v>
      </x:c>
      <x:c r="R11" s="128">
        <x:v>44359</x:v>
      </x:c>
      <x:c r="S11" s="129">
        <x:v>24</x:v>
      </x:c>
      <x:c r="T11" s="129">
        <x:v>4</x:v>
      </x:c>
      <x:c r="U11" s="129">
        <x:v>0</x:v>
      </x:c>
      <x:c r="V11" s="130">
        <x:v>0</x:v>
      </x:c>
      <x:c r="W11" s="129">
        <x:v>0</x:v>
      </x:c>
      <x:c r="X11" s="131">
        <x:v>0.20000000000000001</x:v>
      </x:c>
      <x:c r="Y11" s="131">
        <x:v>0</x:v>
      </x:c>
      <x:c r="Z11" s="131">
        <x:v>0.5</x:v>
      </x:c>
      <x:c r="AC11" s="130">
        <x:v>0</x:v>
      </x:c>
    </x:row>
    <x:row r="12" spans="1:29">
      <x:c r="A12" s="132" t="s">
        <x:v>1480</x:v>
      </x:c>
      <x:c r="B12" s="132" t="s">
        <x:v>816</x:v>
      </x:c>
      <x:c r="C12" s="132" t="s">
        <x:v>1468</x:v>
      </x:c>
      <x:c r="D12" s="132" t="s">
        <x:v>1476</x:v>
      </x:c>
      <x:c r="E12" s="132" t="s">
        <x:v>816</x:v>
      </x:c>
      <x:c r="M12" s="132" t="s">
        <x:v>882</x:v>
      </x:c>
      <x:c r="N12" s="132" t="s">
        <x:v>1538</x:v>
      </x:c>
      <x:c r="O12" s="128">
        <x:v>44361</x:v>
      </x:c>
      <x:c r="P12" s="128">
        <x:v>44365</x:v>
      </x:c>
      <x:c r="Q12" s="128">
        <x:v>44360</x:v>
      </x:c>
      <x:c r="R12" s="128">
        <x:v>44366</x:v>
      </x:c>
      <x:c r="S12" s="129">
        <x:v>25</x:v>
      </x:c>
      <x:c r="T12" s="129">
        <x:v>5</x:v>
      </x:c>
      <x:c r="U12" s="129">
        <x:v>1</x:v>
      </x:c>
      <x:c r="V12" s="130">
        <x:v>0</x:v>
      </x:c>
      <x:c r="W12" s="129">
        <x:v>0</x:v>
      </x:c>
      <x:c r="X12" s="131">
        <x:v>0.20000000000000001</x:v>
      </x:c>
      <x:c r="Y12" s="131">
        <x:v>0</x:v>
      </x:c>
      <x:c r="Z12" s="131">
        <x:v>0.5</x:v>
      </x:c>
      <x:c r="AC12" s="130">
        <x:v>0</x:v>
      </x:c>
    </x:row>
    <x:row r="13" spans="1:29">
      <x:c r="A13" s="132" t="s">
        <x:v>1480</x:v>
      </x:c>
      <x:c r="B13" s="132" t="s">
        <x:v>825</x:v>
      </x:c>
      <x:c r="C13" s="132" t="s">
        <x:v>1468</x:v>
      </x:c>
      <x:c r="D13" s="132" t="s">
        <x:v>1476</x:v>
      </x:c>
      <x:c r="E13" s="132" t="s">
        <x:v>825</x:v>
      </x:c>
      <x:c r="M13" s="132" t="s">
        <x:v>862</x:v>
      </x:c>
      <x:c r="N13" s="132" t="s">
        <x:v>1538</x:v>
      </x:c>
      <x:c r="O13" s="128">
        <x:v>44393</x:v>
      </x:c>
      <x:c r="P13" s="128">
        <x:v>44393</x:v>
      </x:c>
      <x:c r="Q13" s="128">
        <x:v>44388</x:v>
      </x:c>
      <x:c r="R13" s="128">
        <x:v>44394</x:v>
      </x:c>
      <x:c r="S13" s="129">
        <x:v>29</x:v>
      </x:c>
      <x:c r="T13" s="129">
        <x:v>9</x:v>
      </x:c>
      <x:c r="U13" s="129">
        <x:v>0.20000000000000001</x:v>
      </x:c>
      <x:c r="V13" s="130">
        <x:v>0</x:v>
      </x:c>
      <x:c r="W13" s="129">
        <x:v>0</x:v>
      </x:c>
      <x:c r="X13" s="131">
        <x:v>0.20000000000000001</x:v>
      </x:c>
      <x:c r="Y13" s="131">
        <x:v>0</x:v>
      </x:c>
      <x:c r="Z13" s="131">
        <x:v>0</x:v>
      </x:c>
      <x:c r="AC13" s="130">
        <x:v>0</x:v>
      </x:c>
    </x:row>
    <x:row r="14" spans="1:29">
      <x:c r="A14" s="132" t="s">
        <x:v>1480</x:v>
      </x:c>
      <x:c r="B14" s="132" t="s">
        <x:v>863</x:v>
      </x:c>
      <x:c r="C14" s="132" t="s">
        <x:v>1468</x:v>
      </x:c>
      <x:c r="D14" s="132" t="s">
        <x:v>1476</x:v>
      </x:c>
      <x:c r="E14" s="132" t="s">
        <x:v>863</x:v>
      </x:c>
      <x:c r="M14" s="132" t="s">
        <x:v>876</x:v>
      </x:c>
      <x:c r="N14" s="132" t="s">
        <x:v>1538</x:v>
      </x:c>
      <x:c r="O14" s="128">
        <x:v>44429</x:v>
      </x:c>
      <x:c r="P14" s="128">
        <x:v>44454</x:v>
      </x:c>
      <x:c r="Q14" s="128">
        <x:v>44423</x:v>
      </x:c>
      <x:c r="R14" s="128">
        <x:v>44429</x:v>
      </x:c>
      <x:c r="S14" s="129">
        <x:v>34</x:v>
      </x:c>
      <x:c r="T14" s="129">
        <x:v>14</x:v>
      </x:c>
      <x:c r="U14" s="129">
        <x:v>0</x:v>
      </x:c>
      <x:c r="V14" s="130">
        <x:v>0</x:v>
      </x:c>
      <x:c r="W14" s="129">
        <x:v>0</x:v>
      </x:c>
      <x:c r="X14" s="131">
        <x:v>0.20000000000000001</x:v>
      </x:c>
      <x:c r="Y14" s="131">
        <x:v>0</x:v>
      </x:c>
      <x:c r="Z14" s="131">
        <x:v>0</x:v>
      </x:c>
      <x:c r="AC14" s="130">
        <x:v>0</x:v>
      </x:c>
    </x:row>
    <x:row r="15" spans="1:29">
      <x:c r="A15" s="132" t="s">
        <x:v>1480</x:v>
      </x:c>
      <x:c r="B15" s="132" t="s">
        <x:v>863</x:v>
      </x:c>
      <x:c r="C15" s="132" t="s">
        <x:v>1468</x:v>
      </x:c>
      <x:c r="D15" s="132" t="s">
        <x:v>1476</x:v>
      </x:c>
      <x:c r="E15" s="132" t="s">
        <x:v>863</x:v>
      </x:c>
      <x:c r="M15" s="132" t="s">
        <x:v>876</x:v>
      </x:c>
      <x:c r="N15" s="132" t="s">
        <x:v>1538</x:v>
      </x:c>
      <x:c r="O15" s="128">
        <x:v>44429</x:v>
      </x:c>
      <x:c r="P15" s="128">
        <x:v>44454</x:v>
      </x:c>
      <x:c r="Q15" s="128">
        <x:v>44430</x:v>
      </x:c>
      <x:c r="R15" s="128">
        <x:v>44436</x:v>
      </x:c>
      <x:c r="S15" s="129">
        <x:v>35</x:v>
      </x:c>
      <x:c r="T15" s="129">
        <x:v>15</x:v>
      </x:c>
      <x:c r="U15" s="129">
        <x:v>1</x:v>
      </x:c>
      <x:c r="V15" s="130">
        <x:v>0</x:v>
      </x:c>
      <x:c r="W15" s="129">
        <x:v>0</x:v>
      </x:c>
      <x:c r="X15" s="131">
        <x:v>0.20000000000000001</x:v>
      </x:c>
      <x:c r="Y15" s="131">
        <x:v>0</x:v>
      </x:c>
      <x:c r="Z15" s="131">
        <x:v>0</x:v>
      </x:c>
      <x:c r="AC15" s="130">
        <x:v>0</x:v>
      </x:c>
    </x:row>
    <x:row r="16" spans="1:29">
      <x:c r="A16" s="132" t="s">
        <x:v>1480</x:v>
      </x:c>
      <x:c r="B16" s="132" t="s">
        <x:v>863</x:v>
      </x:c>
      <x:c r="C16" s="132" t="s">
        <x:v>1468</x:v>
      </x:c>
      <x:c r="D16" s="132" t="s">
        <x:v>1476</x:v>
      </x:c>
      <x:c r="E16" s="132" t="s">
        <x:v>863</x:v>
      </x:c>
      <x:c r="M16" s="132" t="s">
        <x:v>876</x:v>
      </x:c>
      <x:c r="N16" s="132" t="s">
        <x:v>1538</x:v>
      </x:c>
      <x:c r="O16" s="128">
        <x:v>44429</x:v>
      </x:c>
      <x:c r="P16" s="128">
        <x:v>44454</x:v>
      </x:c>
      <x:c r="Q16" s="128">
        <x:v>44437</x:v>
      </x:c>
      <x:c r="R16" s="128">
        <x:v>44443</x:v>
      </x:c>
      <x:c r="S16" s="129">
        <x:v>36</x:v>
      </x:c>
      <x:c r="T16" s="129">
        <x:v>16</x:v>
      </x:c>
      <x:c r="U16" s="129">
        <x:v>1</x:v>
      </x:c>
      <x:c r="V16" s="130">
        <x:v>0</x:v>
      </x:c>
      <x:c r="W16" s="129">
        <x:v>0</x:v>
      </x:c>
      <x:c r="X16" s="131">
        <x:v>0.20000000000000001</x:v>
      </x:c>
      <x:c r="Y16" s="131">
        <x:v>0</x:v>
      </x:c>
      <x:c r="Z16" s="131">
        <x:v>0</x:v>
      </x:c>
      <x:c r="AC16" s="130">
        <x:v>0</x:v>
      </x:c>
    </x:row>
    <x:row r="17" spans="1:29">
      <x:c r="A17" s="132" t="s">
        <x:v>1480</x:v>
      </x:c>
      <x:c r="B17" s="132" t="s">
        <x:v>863</x:v>
      </x:c>
      <x:c r="C17" s="132" t="s">
        <x:v>1468</x:v>
      </x:c>
      <x:c r="D17" s="132" t="s">
        <x:v>1476</x:v>
      </x:c>
      <x:c r="E17" s="132" t="s">
        <x:v>863</x:v>
      </x:c>
      <x:c r="M17" s="132" t="s">
        <x:v>876</x:v>
      </x:c>
      <x:c r="N17" s="132" t="s">
        <x:v>1538</x:v>
      </x:c>
      <x:c r="O17" s="128">
        <x:v>44429</x:v>
      </x:c>
      <x:c r="P17" s="128">
        <x:v>44454</x:v>
      </x:c>
      <x:c r="Q17" s="128">
        <x:v>44444</x:v>
      </x:c>
      <x:c r="R17" s="128">
        <x:v>44450</x:v>
      </x:c>
      <x:c r="S17" s="129">
        <x:v>37</x:v>
      </x:c>
      <x:c r="T17" s="129">
        <x:v>17</x:v>
      </x:c>
      <x:c r="U17" s="129">
        <x:v>1</x:v>
      </x:c>
      <x:c r="V17" s="130">
        <x:v>0</x:v>
      </x:c>
      <x:c r="W17" s="129">
        <x:v>0</x:v>
      </x:c>
      <x:c r="X17" s="131">
        <x:v>0.20000000000000001</x:v>
      </x:c>
      <x:c r="Y17" s="131">
        <x:v>0</x:v>
      </x:c>
      <x:c r="Z17" s="131">
        <x:v>0</x:v>
      </x:c>
      <x:c r="AC17" s="130">
        <x:v>0</x:v>
      </x:c>
    </x:row>
    <x:row r="18" spans="1:29">
      <x:c r="A18" s="132" t="s">
        <x:v>1480</x:v>
      </x:c>
      <x:c r="B18" s="132" t="s">
        <x:v>863</x:v>
      </x:c>
      <x:c r="C18" s="132" t="s">
        <x:v>1468</x:v>
      </x:c>
      <x:c r="D18" s="132" t="s">
        <x:v>1476</x:v>
      </x:c>
      <x:c r="E18" s="132" t="s">
        <x:v>863</x:v>
      </x:c>
      <x:c r="M18" s="132" t="s">
        <x:v>876</x:v>
      </x:c>
      <x:c r="N18" s="132" t="s">
        <x:v>1538</x:v>
      </x:c>
      <x:c r="O18" s="128">
        <x:v>44429</x:v>
      </x:c>
      <x:c r="P18" s="128">
        <x:v>44454</x:v>
      </x:c>
      <x:c r="Q18" s="128">
        <x:v>44451</x:v>
      </x:c>
      <x:c r="R18" s="128">
        <x:v>44457</x:v>
      </x:c>
      <x:c r="S18" s="129">
        <x:v>38</x:v>
      </x:c>
      <x:c r="T18" s="129">
        <x:v>18</x:v>
      </x:c>
      <x:c r="U18" s="129">
        <x:v>0.60000000000000009</x:v>
      </x:c>
      <x:c r="V18" s="130">
        <x:v>0</x:v>
      </x:c>
      <x:c r="W18" s="129">
        <x:v>0</x:v>
      </x:c>
      <x:c r="X18" s="131">
        <x:v>0.20000000000000001</x:v>
      </x:c>
      <x:c r="Y18" s="131">
        <x:v>0</x:v>
      </x:c>
      <x:c r="Z18" s="131">
        <x:v>0</x:v>
      </x:c>
      <x:c r="AC18" s="130">
        <x:v>0</x:v>
      </x:c>
    </x:row>
    <x:row r="19" spans="1:29">
      <x:c r="A19" s="132" t="s">
        <x:v>1480</x:v>
      </x:c>
      <x:c r="B19" s="132" t="s">
        <x:v>879</x:v>
      </x:c>
      <x:c r="C19" s="132" t="s">
        <x:v>1468</x:v>
      </x:c>
      <x:c r="D19" s="132" t="s">
        <x:v>1476</x:v>
      </x:c>
      <x:c r="E19" s="132" t="s">
        <x:v>879</x:v>
      </x:c>
      <x:c r="M19" s="132" t="s">
        <x:v>877</x:v>
      </x:c>
      <x:c r="N19" s="132" t="s">
        <x:v>432</x:v>
      </x:c>
      <x:c r="O19" s="128">
        <x:v>44358</x:v>
      </x:c>
      <x:c r="P19" s="128">
        <x:v>44358</x:v>
      </x:c>
      <x:c r="Q19" s="128">
        <x:v>44353</x:v>
      </x:c>
      <x:c r="R19" s="128">
        <x:v>44359</x:v>
      </x:c>
      <x:c r="S19" s="129">
        <x:v>24</x:v>
      </x:c>
      <x:c r="T19" s="129">
        <x:v>4</x:v>
      </x:c>
      <x:c r="U19" s="129">
        <x:v>1</x:v>
      </x:c>
      <x:c r="V19" s="130">
        <x:v>0</x:v>
      </x:c>
      <x:c r="W19" s="129">
        <x:v>0</x:v>
      </x:c>
      <x:c r="X19" s="131">
        <x:v>1</x:v>
      </x:c>
      <x:c r="Y19" s="131">
        <x:v>0</x:v>
      </x:c>
      <x:c r="Z19" s="131">
        <x:v>0</x:v>
      </x:c>
      <x:c r="AC19" s="130">
        <x:v>0</x:v>
      </x:c>
    </x:row>
    <x:row r="20" spans="1:29">
      <x:c r="A20" s="132" t="s">
        <x:v>1480</x:v>
      </x:c>
      <x:c r="B20" s="132" t="s">
        <x:v>821</x:v>
      </x:c>
      <x:c r="C20" s="132" t="s">
        <x:v>1468</x:v>
      </x:c>
      <x:c r="D20" s="132" t="s">
        <x:v>1483</x:v>
      </x:c>
      <x:c r="E20" s="132" t="s">
        <x:v>821</x:v>
      </x:c>
      <x:c r="M20" s="132" t="s">
        <x:v>866</x:v>
      </x:c>
      <x:c r="N20" s="132" t="s">
        <x:v>1506</x:v>
      </x:c>
      <x:c r="O20" s="128">
        <x:v>44462</x:v>
      </x:c>
      <x:c r="P20" s="128">
        <x:v>44466</x:v>
      </x:c>
      <x:c r="Q20" s="128">
        <x:v>44458</x:v>
      </x:c>
      <x:c r="R20" s="128">
        <x:v>44464</x:v>
      </x:c>
      <x:c r="S20" s="129">
        <x:v>39</x:v>
      </x:c>
      <x:c r="T20" s="129">
        <x:v>19</x:v>
      </x:c>
      <x:c r="U20" s="129">
        <x:v>2</x:v>
      </x:c>
      <x:c r="V20" s="130">
        <x:v>0</x:v>
      </x:c>
      <x:c r="W20" s="129">
        <x:v>0</x:v>
      </x:c>
      <x:c r="X20" s="131">
        <x:v>1</x:v>
      </x:c>
      <x:c r="Y20" s="131">
        <x:v>0</x:v>
      </x:c>
      <x:c r="Z20" s="131">
        <x:v>0</x:v>
      </x:c>
      <x:c r="AC20" s="130">
        <x:v>0</x:v>
      </x:c>
    </x:row>
    <x:row r="21" spans="1:29">
      <x:c r="A21" s="132" t="s">
        <x:v>1480</x:v>
      </x:c>
      <x:c r="B21" s="132" t="s">
        <x:v>821</x:v>
      </x:c>
      <x:c r="C21" s="132" t="s">
        <x:v>1468</x:v>
      </x:c>
      <x:c r="D21" s="132" t="s">
        <x:v>1483</x:v>
      </x:c>
      <x:c r="E21" s="132" t="s">
        <x:v>821</x:v>
      </x:c>
      <x:c r="M21" s="132" t="s">
        <x:v>866</x:v>
      </x:c>
      <x:c r="N21" s="132" t="s">
        <x:v>1511</x:v>
      </x:c>
      <x:c r="O21" s="128">
        <x:v>44462</x:v>
      </x:c>
      <x:c r="P21" s="128">
        <x:v>44466</x:v>
      </x:c>
      <x:c r="Q21" s="128">
        <x:v>44458</x:v>
      </x:c>
      <x:c r="R21" s="128">
        <x:v>44464</x:v>
      </x:c>
      <x:c r="S21" s="129">
        <x:v>39</x:v>
      </x:c>
      <x:c r="T21" s="129">
        <x:v>19</x:v>
      </x:c>
      <x:c r="U21" s="129">
        <x:v>2</x:v>
      </x:c>
      <x:c r="V21" s="130">
        <x:v>0</x:v>
      </x:c>
      <x:c r="W21" s="129">
        <x:v>0</x:v>
      </x:c>
      <x:c r="X21" s="131">
        <x:v>1</x:v>
      </x:c>
      <x:c r="Y21" s="131">
        <x:v>0</x:v>
      </x:c>
      <x:c r="Z21" s="131">
        <x:v>0</x:v>
      </x:c>
      <x:c r="AC21" s="130">
        <x:v>0</x:v>
      </x:c>
    </x:row>
    <x:row r="22" spans="1:29">
      <x:c r="A22" s="132" t="s">
        <x:v>1480</x:v>
      </x:c>
      <x:c r="B22" s="132" t="s">
        <x:v>821</x:v>
      </x:c>
      <x:c r="C22" s="132" t="s">
        <x:v>1468</x:v>
      </x:c>
      <x:c r="D22" s="132" t="s">
        <x:v>1483</x:v>
      </x:c>
      <x:c r="E22" s="132" t="s">
        <x:v>821</x:v>
      </x:c>
      <x:c r="M22" s="132" t="s">
        <x:v>866</x:v>
      </x:c>
      <x:c r="N22" s="132" t="s">
        <x:v>1506</x:v>
      </x:c>
      <x:c r="O22" s="128">
        <x:v>44462</x:v>
      </x:c>
      <x:c r="P22" s="128">
        <x:v>44466</x:v>
      </x:c>
      <x:c r="Q22" s="128">
        <x:v>44465</x:v>
      </x:c>
      <x:c r="R22" s="128">
        <x:v>44471</x:v>
      </x:c>
      <x:c r="S22" s="129">
        <x:v>40</x:v>
      </x:c>
      <x:c r="T22" s="129">
        <x:v>20</x:v>
      </x:c>
      <x:c r="U22" s="129">
        <x:v>1</x:v>
      </x:c>
      <x:c r="V22" s="130">
        <x:v>0</x:v>
      </x:c>
      <x:c r="W22" s="129">
        <x:v>0</x:v>
      </x:c>
      <x:c r="X22" s="131">
        <x:v>1</x:v>
      </x:c>
      <x:c r="Y22" s="131">
        <x:v>0</x:v>
      </x:c>
      <x:c r="Z22" s="131">
        <x:v>0</x:v>
      </x:c>
      <x:c r="AC22" s="130">
        <x:v>0</x:v>
      </x:c>
    </x:row>
    <x:row r="23" spans="1:29">
      <x:c r="A23" s="132" t="s">
        <x:v>1480</x:v>
      </x:c>
      <x:c r="B23" s="132" t="s">
        <x:v>821</x:v>
      </x:c>
      <x:c r="C23" s="132" t="s">
        <x:v>1468</x:v>
      </x:c>
      <x:c r="D23" s="132" t="s">
        <x:v>1483</x:v>
      </x:c>
      <x:c r="E23" s="132" t="s">
        <x:v>821</x:v>
      </x:c>
      <x:c r="M23" s="132" t="s">
        <x:v>866</x:v>
      </x:c>
      <x:c r="N23" s="132" t="s">
        <x:v>1511</x:v>
      </x:c>
      <x:c r="O23" s="128">
        <x:v>44462</x:v>
      </x:c>
      <x:c r="P23" s="128">
        <x:v>44466</x:v>
      </x:c>
      <x:c r="Q23" s="128">
        <x:v>44465</x:v>
      </x:c>
      <x:c r="R23" s="128">
        <x:v>44471</x:v>
      </x:c>
      <x:c r="S23" s="129">
        <x:v>40</x:v>
      </x:c>
      <x:c r="T23" s="129">
        <x:v>20</x:v>
      </x:c>
      <x:c r="U23" s="129">
        <x:v>1</x:v>
      </x:c>
      <x:c r="V23" s="130">
        <x:v>0</x:v>
      </x:c>
      <x:c r="W23" s="129">
        <x:v>0</x:v>
      </x:c>
      <x:c r="X23" s="131">
        <x:v>1</x:v>
      </x:c>
      <x:c r="Y23" s="131">
        <x:v>0</x:v>
      </x:c>
      <x:c r="Z23" s="131">
        <x:v>0</x:v>
      </x:c>
      <x:c r="AC23" s="130">
        <x:v>0</x:v>
      </x:c>
    </x:row>
    <x:row r="24" spans="1:29">
      <x:c r="A24" s="132" t="s">
        <x:v>1480</x:v>
      </x:c>
      <x:c r="B24" s="132" t="s">
        <x:v>829</x:v>
      </x:c>
      <x:c r="C24" s="132" t="s">
        <x:v>1468</x:v>
      </x:c>
      <x:c r="D24" s="132" t="s">
        <x:v>1483</x:v>
      </x:c>
      <x:c r="E24" s="132" t="s">
        <x:v>829</x:v>
      </x:c>
      <x:c r="M24" s="132" t="s">
        <x:v>393</x:v>
      </x:c>
      <x:c r="N24" s="132" t="s">
        <x:v>1479</x:v>
      </x:c>
      <x:c r="O24" s="128">
        <x:v>44469</x:v>
      </x:c>
      <x:c r="P24" s="128">
        <x:v>44487</x:v>
      </x:c>
      <x:c r="Q24" s="128">
        <x:v>44465</x:v>
      </x:c>
      <x:c r="R24" s="128">
        <x:v>44471</x:v>
      </x:c>
      <x:c r="S24" s="129">
        <x:v>40</x:v>
      </x:c>
      <x:c r="T24" s="129">
        <x:v>20</x:v>
      </x:c>
      <x:c r="U24" s="129">
        <x:v>2</x:v>
      </x:c>
      <x:c r="V24" s="130">
        <x:v>0</x:v>
      </x:c>
      <x:c r="W24" s="129">
        <x:v>0</x:v>
      </x:c>
      <x:c r="X24" s="131">
        <x:v>1</x:v>
      </x:c>
      <x:c r="Y24" s="131">
        <x:v>0</x:v>
      </x:c>
      <x:c r="Z24" s="131">
        <x:v>0</x:v>
      </x:c>
      <x:c r="AC24" s="130">
        <x:v>0</x:v>
      </x:c>
    </x:row>
    <x:row r="25" spans="1:29">
      <x:c r="A25" s="132" t="s">
        <x:v>1480</x:v>
      </x:c>
      <x:c r="B25" s="132" t="s">
        <x:v>829</x:v>
      </x:c>
      <x:c r="C25" s="132" t="s">
        <x:v>1468</x:v>
      </x:c>
      <x:c r="D25" s="132" t="s">
        <x:v>1483</x:v>
      </x:c>
      <x:c r="E25" s="132" t="s">
        <x:v>829</x:v>
      </x:c>
      <x:c r="M25" s="132" t="s">
        <x:v>393</x:v>
      </x:c>
      <x:c r="N25" s="132" t="s">
        <x:v>1479</x:v>
      </x:c>
      <x:c r="O25" s="128">
        <x:v>44469</x:v>
      </x:c>
      <x:c r="P25" s="128">
        <x:v>44487</x:v>
      </x:c>
      <x:c r="Q25" s="128">
        <x:v>44472</x:v>
      </x:c>
      <x:c r="R25" s="128">
        <x:v>44478</x:v>
      </x:c>
      <x:c r="S25" s="129">
        <x:v>41</x:v>
      </x:c>
      <x:c r="T25" s="129">
        <x:v>21</x:v>
      </x:c>
      <x:c r="U25" s="129">
        <x:v>5</x:v>
      </x:c>
      <x:c r="V25" s="130">
        <x:v>0</x:v>
      </x:c>
      <x:c r="W25" s="129">
        <x:v>0</x:v>
      </x:c>
      <x:c r="X25" s="131">
        <x:v>1</x:v>
      </x:c>
      <x:c r="Y25" s="131">
        <x:v>0</x:v>
      </x:c>
      <x:c r="Z25" s="131">
        <x:v>0</x:v>
      </x:c>
      <x:c r="AC25" s="130">
        <x:v>0</x:v>
      </x:c>
    </x:row>
    <x:row r="26" spans="1:29">
      <x:c r="A26" s="132" t="s">
        <x:v>1480</x:v>
      </x:c>
      <x:c r="B26" s="132" t="s">
        <x:v>829</x:v>
      </x:c>
      <x:c r="C26" s="132" t="s">
        <x:v>1468</x:v>
      </x:c>
      <x:c r="D26" s="132" t="s">
        <x:v>1483</x:v>
      </x:c>
      <x:c r="E26" s="132" t="s">
        <x:v>829</x:v>
      </x:c>
      <x:c r="M26" s="132" t="s">
        <x:v>393</x:v>
      </x:c>
      <x:c r="N26" s="132" t="s">
        <x:v>1479</x:v>
      </x:c>
      <x:c r="O26" s="128">
        <x:v>44469</x:v>
      </x:c>
      <x:c r="P26" s="128">
        <x:v>44487</x:v>
      </x:c>
      <x:c r="Q26" s="128">
        <x:v>44479</x:v>
      </x:c>
      <x:c r="R26" s="128">
        <x:v>44485</x:v>
      </x:c>
      <x:c r="S26" s="129">
        <x:v>42</x:v>
      </x:c>
      <x:c r="T26" s="129">
        <x:v>22</x:v>
      </x:c>
      <x:c r="U26" s="129">
        <x:v>5</x:v>
      </x:c>
      <x:c r="V26" s="130">
        <x:v>0</x:v>
      </x:c>
      <x:c r="W26" s="129">
        <x:v>0</x:v>
      </x:c>
      <x:c r="X26" s="131">
        <x:v>1</x:v>
      </x:c>
      <x:c r="Y26" s="131">
        <x:v>0</x:v>
      </x:c>
      <x:c r="Z26" s="131">
        <x:v>0</x:v>
      </x:c>
      <x:c r="AC26" s="130">
        <x:v>0</x:v>
      </x:c>
    </x:row>
    <x:row r="27" spans="1:29">
      <x:c r="A27" s="132" t="s">
        <x:v>1480</x:v>
      </x:c>
      <x:c r="B27" s="132" t="s">
        <x:v>829</x:v>
      </x:c>
      <x:c r="C27" s="132" t="s">
        <x:v>1468</x:v>
      </x:c>
      <x:c r="D27" s="132" t="s">
        <x:v>1483</x:v>
      </x:c>
      <x:c r="E27" s="132" t="s">
        <x:v>829</x:v>
      </x:c>
      <x:c r="M27" s="132" t="s">
        <x:v>393</x:v>
      </x:c>
      <x:c r="N27" s="132" t="s">
        <x:v>1479</x:v>
      </x:c>
      <x:c r="O27" s="128">
        <x:v>44469</x:v>
      </x:c>
      <x:c r="P27" s="128">
        <x:v>44487</x:v>
      </x:c>
      <x:c r="Q27" s="128">
        <x:v>44486</x:v>
      </x:c>
      <x:c r="R27" s="128">
        <x:v>44492</x:v>
      </x:c>
      <x:c r="S27" s="129">
        <x:v>43</x:v>
      </x:c>
      <x:c r="T27" s="129">
        <x:v>23</x:v>
      </x:c>
      <x:c r="U27" s="129">
        <x:v>1</x:v>
      </x:c>
      <x:c r="V27" s="130">
        <x:v>0</x:v>
      </x:c>
      <x:c r="W27" s="129">
        <x:v>0</x:v>
      </x:c>
      <x:c r="X27" s="131">
        <x:v>1</x:v>
      </x:c>
      <x:c r="Y27" s="131">
        <x:v>0</x:v>
      </x:c>
      <x:c r="Z27" s="131">
        <x:v>0</x:v>
      </x:c>
      <x:c r="AC27" s="130">
        <x:v>0</x:v>
      </x:c>
    </x:row>
    <x:row r="28" spans="1:29">
      <x:c r="A28" s="132" t="s">
        <x:v>1480</x:v>
      </x:c>
      <x:c r="B28" s="132" t="s">
        <x:v>864</x:v>
      </x:c>
      <x:c r="C28" s="132" t="s">
        <x:v>1468</x:v>
      </x:c>
      <x:c r="D28" s="132" t="s">
        <x:v>1483</x:v>
      </x:c>
      <x:c r="E28" s="132" t="s">
        <x:v>864</x:v>
      </x:c>
      <x:c r="M28" s="132" t="s">
        <x:v>867</x:v>
      </x:c>
      <x:c r="N28" s="132" t="s">
        <x:v>1508</x:v>
      </x:c>
      <x:c r="O28" s="128">
        <x:v>44487</x:v>
      </x:c>
      <x:c r="P28" s="128">
        <x:v>44487</x:v>
      </x:c>
      <x:c r="Q28" s="128">
        <x:v>44486</x:v>
      </x:c>
      <x:c r="R28" s="128">
        <x:v>44492</x:v>
      </x:c>
      <x:c r="S28" s="129">
        <x:v>43</x:v>
      </x:c>
      <x:c r="T28" s="129">
        <x:v>23</x:v>
      </x:c>
      <x:c r="U28" s="129">
        <x:v>1</x:v>
      </x:c>
      <x:c r="V28" s="130">
        <x:v>0</x:v>
      </x:c>
      <x:c r="W28" s="129">
        <x:v>0</x:v>
      </x:c>
      <x:c r="X28" s="131">
        <x:v>1</x:v>
      </x:c>
      <x:c r="Y28" s="131">
        <x:v>0</x:v>
      </x:c>
      <x:c r="Z28" s="131">
        <x:v>0</x:v>
      </x:c>
      <x:c r="AC28" s="130">
        <x:v>0</x:v>
      </x:c>
    </x:row>
    <x:row r="29" spans="1:29">
      <x:c r="A29" s="132" t="s">
        <x:v>1480</x:v>
      </x:c>
      <x:c r="B29" s="132" t="s">
        <x:v>864</x:v>
      </x:c>
      <x:c r="C29" s="132" t="s">
        <x:v>1468</x:v>
      </x:c>
      <x:c r="D29" s="132" t="s">
        <x:v>1483</x:v>
      </x:c>
      <x:c r="E29" s="132" t="s">
        <x:v>864</x:v>
      </x:c>
      <x:c r="M29" s="132" t="s">
        <x:v>867</x:v>
      </x:c>
      <x:c r="N29" s="132" t="s">
        <x:v>1512</x:v>
      </x:c>
      <x:c r="O29" s="128">
        <x:v>44487</x:v>
      </x:c>
      <x:c r="P29" s="128">
        <x:v>44487</x:v>
      </x:c>
      <x:c r="Q29" s="128">
        <x:v>44486</x:v>
      </x:c>
      <x:c r="R29" s="128">
        <x:v>44492</x:v>
      </x:c>
      <x:c r="S29" s="129">
        <x:v>43</x:v>
      </x:c>
      <x:c r="T29" s="129">
        <x:v>23</x:v>
      </x:c>
      <x:c r="U29" s="129">
        <x:v>1</x:v>
      </x:c>
      <x:c r="V29" s="130">
        <x:v>0</x:v>
      </x:c>
      <x:c r="W29" s="129">
        <x:v>0</x:v>
      </x:c>
      <x:c r="X29" s="131">
        <x:v>1</x:v>
      </x:c>
      <x:c r="Y29" s="131">
        <x:v>0</x:v>
      </x:c>
      <x:c r="Z29" s="131">
        <x:v>0</x:v>
      </x:c>
      <x:c r="AC29" s="130">
        <x:v>0</x:v>
      </x:c>
    </x:row>
    <x:row r="30" spans="1:29">
      <x:c r="A30" s="132" t="s">
        <x:v>1480</x:v>
      </x:c>
      <x:c r="B30" s="132" t="s">
        <x:v>869</x:v>
      </x:c>
      <x:c r="C30" s="132" t="s">
        <x:v>1468</x:v>
      </x:c>
      <x:c r="D30" s="132" t="s">
        <x:v>1483</x:v>
      </x:c>
      <x:c r="E30" s="132" t="s">
        <x:v>869</x:v>
      </x:c>
      <x:c r="M30" s="132" t="s">
        <x:v>870</x:v>
      </x:c>
      <x:c r="N30" s="132" t="s">
        <x:v>432</x:v>
      </x:c>
      <x:c r="O30" s="128">
        <x:v>44487</x:v>
      </x:c>
      <x:c r="P30" s="128">
        <x:v>44487</x:v>
      </x:c>
      <x:c r="Q30" s="128">
        <x:v>44486</x:v>
      </x:c>
      <x:c r="R30" s="128">
        <x:v>44492</x:v>
      </x:c>
      <x:c r="S30" s="129">
        <x:v>43</x:v>
      </x:c>
      <x:c r="T30" s="129">
        <x:v>23</x:v>
      </x:c>
      <x:c r="U30" s="129">
        <x:v>0</x:v>
      </x:c>
      <x:c r="V30" s="130">
        <x:v>0</x:v>
      </x:c>
      <x:c r="W30" s="129">
        <x:v>0</x:v>
      </x:c>
      <x:c r="X30" s="131">
        <x:v>0</x:v>
      </x:c>
      <x:c r="Y30" s="131">
        <x:v>0</x:v>
      </x:c>
      <x:c r="Z30" s="131">
        <x:v>0</x:v>
      </x:c>
      <x:c r="AC30" s="130">
        <x:v>0</x:v>
      </x:c>
    </x:row>
    <x:row r="31" spans="1:29">
      <x:c r="A31" s="132" t="s">
        <x:v>1480</x:v>
      </x:c>
      <x:c r="B31" s="132" t="s">
        <x:v>904</x:v>
      </x:c>
      <x:c r="C31" s="132" t="s">
        <x:v>1469</x:v>
      </x:c>
      <x:c r="D31" s="132" t="s">
        <x:v>1548</x:v>
      </x:c>
      <x:c r="E31" s="132" t="s">
        <x:v>904</x:v>
      </x:c>
      <x:c r="M31" s="132" t="s">
        <x:v>894</x:v>
      </x:c>
      <x:c r="N31" s="132" t="s">
        <x:v>432</x:v>
      </x:c>
      <x:c r="O31" s="128">
        <x:v>44340</x:v>
      </x:c>
      <x:c r="P31" s="128">
        <x:v>44358</x:v>
      </x:c>
      <x:c r="Q31" s="128">
        <x:v>44336</x:v>
      </x:c>
      <x:c r="R31" s="128">
        <x:v>44338</x:v>
      </x:c>
      <x:c r="S31" s="129">
        <x:v>21</x:v>
      </x:c>
      <x:c r="T31" s="129">
        <x:v>1</x:v>
      </x:c>
      <x:c r="U31" s="129">
        <x:v>0</x:v>
      </x:c>
      <x:c r="V31" s="130">
        <x:v>0</x:v>
      </x:c>
      <x:c r="W31" s="129">
        <x:v>0</x:v>
      </x:c>
      <x:c r="X31" s="131">
        <x:v>1</x:v>
      </x:c>
      <x:c r="Y31" s="131">
        <x:v>0.46666666666666667</x:v>
      </x:c>
      <x:c r="Z31" s="131">
        <x:v>1</x:v>
      </x:c>
      <x:c r="AC31" s="130">
        <x:v>0</x:v>
      </x:c>
    </x:row>
    <x:row r="32" spans="1:29">
      <x:c r="A32" s="132" t="s">
        <x:v>1480</x:v>
      </x:c>
      <x:c r="B32" s="132" t="s">
        <x:v>904</x:v>
      </x:c>
      <x:c r="C32" s="132" t="s">
        <x:v>1469</x:v>
      </x:c>
      <x:c r="D32" s="132" t="s">
        <x:v>1548</x:v>
      </x:c>
      <x:c r="E32" s="132" t="s">
        <x:v>904</x:v>
      </x:c>
      <x:c r="M32" s="132" t="s">
        <x:v>894</x:v>
      </x:c>
      <x:c r="N32" s="132" t="s">
        <x:v>432</x:v>
      </x:c>
      <x:c r="O32" s="128">
        <x:v>44340</x:v>
      </x:c>
      <x:c r="P32" s="128">
        <x:v>44358</x:v>
      </x:c>
      <x:c r="Q32" s="128">
        <x:v>44339</x:v>
      </x:c>
      <x:c r="R32" s="128">
        <x:v>44345</x:v>
      </x:c>
      <x:c r="S32" s="129">
        <x:v>22</x:v>
      </x:c>
      <x:c r="T32" s="129">
        <x:v>2</x:v>
      </x:c>
      <x:c r="U32" s="129">
        <x:v>5</x:v>
      </x:c>
      <x:c r="V32" s="130">
        <x:v>5</x:v>
      </x:c>
      <x:c r="W32" s="129">
        <x:v>0</x:v>
      </x:c>
      <x:c r="X32" s="131">
        <x:v>1</x:v>
      </x:c>
      <x:c r="Y32" s="131">
        <x:v>0.46666666666666667</x:v>
      </x:c>
      <x:c r="Z32" s="131">
        <x:v>1</x:v>
      </x:c>
      <x:c r="AC32" s="130">
        <x:v>0</x:v>
      </x:c>
    </x:row>
    <x:row r="33" spans="1:29">
      <x:c r="A33" s="132" t="s">
        <x:v>1480</x:v>
      </x:c>
      <x:c r="B33" s="132" t="s">
        <x:v>904</x:v>
      </x:c>
      <x:c r="C33" s="132" t="s">
        <x:v>1469</x:v>
      </x:c>
      <x:c r="D33" s="132" t="s">
        <x:v>1548</x:v>
      </x:c>
      <x:c r="E33" s="132" t="s">
        <x:v>904</x:v>
      </x:c>
      <x:c r="M33" s="132" t="s">
        <x:v>894</x:v>
      </x:c>
      <x:c r="N33" s="132" t="s">
        <x:v>432</x:v>
      </x:c>
      <x:c r="O33" s="128">
        <x:v>44340</x:v>
      </x:c>
      <x:c r="P33" s="128">
        <x:v>44358</x:v>
      </x:c>
      <x:c r="Q33" s="128">
        <x:v>44346</x:v>
      </x:c>
      <x:c r="R33" s="128">
        <x:v>44352</x:v>
      </x:c>
      <x:c r="S33" s="129">
        <x:v>23</x:v>
      </x:c>
      <x:c r="T33" s="129">
        <x:v>3</x:v>
      </x:c>
      <x:c r="U33" s="129">
        <x:v>5</x:v>
      </x:c>
      <x:c r="V33" s="130">
        <x:v>2</x:v>
      </x:c>
      <x:c r="W33" s="129">
        <x:v>0</x:v>
      </x:c>
      <x:c r="X33" s="131">
        <x:v>1</x:v>
      </x:c>
      <x:c r="Y33" s="131">
        <x:v>0.46666666666666667</x:v>
      </x:c>
      <x:c r="Z33" s="131">
        <x:v>1</x:v>
      </x:c>
      <x:c r="AC33" s="130">
        <x:v>0</x:v>
      </x:c>
    </x:row>
    <x:row r="34" spans="1:29">
      <x:c r="A34" s="132" t="s">
        <x:v>1480</x:v>
      </x:c>
      <x:c r="B34" s="132" t="s">
        <x:v>904</x:v>
      </x:c>
      <x:c r="C34" s="132" t="s">
        <x:v>1469</x:v>
      </x:c>
      <x:c r="D34" s="132" t="s">
        <x:v>1548</x:v>
      </x:c>
      <x:c r="E34" s="132" t="s">
        <x:v>904</x:v>
      </x:c>
      <x:c r="M34" s="132" t="s">
        <x:v>894</x:v>
      </x:c>
      <x:c r="N34" s="132" t="s">
        <x:v>432</x:v>
      </x:c>
      <x:c r="O34" s="128">
        <x:v>44340</x:v>
      </x:c>
      <x:c r="P34" s="128">
        <x:v>44358</x:v>
      </x:c>
      <x:c r="Q34" s="128">
        <x:v>44353</x:v>
      </x:c>
      <x:c r="R34" s="128">
        <x:v>44359</x:v>
      </x:c>
      <x:c r="S34" s="129">
        <x:v>24</x:v>
      </x:c>
      <x:c r="T34" s="129">
        <x:v>4</x:v>
      </x:c>
      <x:c r="U34" s="129">
        <x:v>5</x:v>
      </x:c>
      <x:c r="V34" s="130">
        <x:v>0</x:v>
      </x:c>
      <x:c r="W34" s="129">
        <x:v>0</x:v>
      </x:c>
      <x:c r="X34" s="131">
        <x:v>1</x:v>
      </x:c>
      <x:c r="Y34" s="131">
        <x:v>0.46666666666666667</x:v>
      </x:c>
      <x:c r="Z34" s="131">
        <x:v>1</x:v>
      </x:c>
      <x:c r="AC34" s="130">
        <x:v>0</x:v>
      </x:c>
    </x:row>
    <x:row r="35" spans="1:29">
      <x:c r="A35" s="132" t="s">
        <x:v>1470</x:v>
      </x:c>
      <x:c r="B35" s="132" t="s">
        <x:v>920</x:v>
      </x:c>
      <x:c r="C35" s="132" t="s">
        <x:v>1469</x:v>
      </x:c>
      <x:c r="D35" s="132" t="s">
        <x:v>1548</x:v>
      </x:c>
      <x:c r="E35" s="132" t="s">
        <x:v>919</x:v>
      </x:c>
      <x:c r="F35" s="132" t="s">
        <x:v>920</x:v>
      </x:c>
      <x:c r="M35" s="132" t="s">
        <x:v>921</x:v>
      </x:c>
      <x:c r="N35" s="132" t="s">
        <x:v>432</x:v>
      </x:c>
      <x:c r="O35" s="128">
        <x:v>44346</x:v>
      </x:c>
      <x:c r="P35" s="128">
        <x:v>44357</x:v>
      </x:c>
      <x:c r="Q35" s="128">
        <x:v>44336</x:v>
      </x:c>
      <x:c r="R35" s="128">
        <x:v>44338</x:v>
      </x:c>
      <x:c r="S35" s="129">
        <x:v>21</x:v>
      </x:c>
      <x:c r="T35" s="129">
        <x:v>1</x:v>
      </x:c>
      <x:c r="U35" s="129">
        <x:v>0</x:v>
      </x:c>
      <x:c r="V35" s="130">
        <x:v>0</x:v>
      </x:c>
      <x:c r="W35" s="129">
        <x:v>0</x:v>
      </x:c>
      <x:c r="X35" s="131">
        <x:v>1</x:v>
      </x:c>
      <x:c r="Y35" s="131">
        <x:v>0.22222222222222221</x:v>
      </x:c>
      <x:c r="Z35" s="131">
        <x:v>0.20000000000000001</x:v>
      </x:c>
      <x:c r="AC35" s="130">
        <x:v>0</x:v>
      </x:c>
    </x:row>
    <x:row r="36" spans="1:29">
      <x:c r="A36" s="132" t="s">
        <x:v>1470</x:v>
      </x:c>
      <x:c r="B36" s="132" t="s">
        <x:v>920</x:v>
      </x:c>
      <x:c r="C36" s="132" t="s">
        <x:v>1469</x:v>
      </x:c>
      <x:c r="D36" s="132" t="s">
        <x:v>1548</x:v>
      </x:c>
      <x:c r="E36" s="132" t="s">
        <x:v>919</x:v>
      </x:c>
      <x:c r="F36" s="132" t="s">
        <x:v>920</x:v>
      </x:c>
      <x:c r="M36" s="132" t="s">
        <x:v>921</x:v>
      </x:c>
      <x:c r="N36" s="132" t="s">
        <x:v>432</x:v>
      </x:c>
      <x:c r="O36" s="128">
        <x:v>44346</x:v>
      </x:c>
      <x:c r="P36" s="128">
        <x:v>44357</x:v>
      </x:c>
      <x:c r="Q36" s="128">
        <x:v>44339</x:v>
      </x:c>
      <x:c r="R36" s="128">
        <x:v>44345</x:v>
      </x:c>
      <x:c r="S36" s="129">
        <x:v>22</x:v>
      </x:c>
      <x:c r="T36" s="129">
        <x:v>2</x:v>
      </x:c>
      <x:c r="U36" s="129">
        <x:v>0</x:v>
      </x:c>
      <x:c r="V36" s="130">
        <x:v>0</x:v>
      </x:c>
      <x:c r="W36" s="129">
        <x:v>0</x:v>
      </x:c>
      <x:c r="X36" s="131">
        <x:v>1</x:v>
      </x:c>
      <x:c r="Y36" s="131">
        <x:v>0.22222222222222221</x:v>
      </x:c>
      <x:c r="Z36" s="131">
        <x:v>0.20000000000000001</x:v>
      </x:c>
      <x:c r="AC36" s="130">
        <x:v>0</x:v>
      </x:c>
    </x:row>
    <x:row r="37" spans="1:29">
      <x:c r="A37" s="132" t="s">
        <x:v>1470</x:v>
      </x:c>
      <x:c r="B37" s="132" t="s">
        <x:v>920</x:v>
      </x:c>
      <x:c r="C37" s="132" t="s">
        <x:v>1469</x:v>
      </x:c>
      <x:c r="D37" s="132" t="s">
        <x:v>1548</x:v>
      </x:c>
      <x:c r="E37" s="132" t="s">
        <x:v>919</x:v>
      </x:c>
      <x:c r="F37" s="132" t="s">
        <x:v>920</x:v>
      </x:c>
      <x:c r="M37" s="132" t="s">
        <x:v>921</x:v>
      </x:c>
      <x:c r="N37" s="132" t="s">
        <x:v>432</x:v>
      </x:c>
      <x:c r="O37" s="128">
        <x:v>44346</x:v>
      </x:c>
      <x:c r="P37" s="128">
        <x:v>44357</x:v>
      </x:c>
      <x:c r="Q37" s="128">
        <x:v>44346</x:v>
      </x:c>
      <x:c r="R37" s="128">
        <x:v>44352</x:v>
      </x:c>
      <x:c r="S37" s="129">
        <x:v>23</x:v>
      </x:c>
      <x:c r="T37" s="129">
        <x:v>3</x:v>
      </x:c>
      <x:c r="U37" s="129">
        <x:v>5</x:v>
      </x:c>
      <x:c r="V37" s="130">
        <x:v>2</x:v>
      </x:c>
      <x:c r="W37" s="129">
        <x:v>0</x:v>
      </x:c>
      <x:c r="X37" s="131">
        <x:v>1</x:v>
      </x:c>
      <x:c r="Y37" s="131">
        <x:v>0.22222222222222221</x:v>
      </x:c>
      <x:c r="Z37" s="131">
        <x:v>0.20000000000000001</x:v>
      </x:c>
      <x:c r="AC37" s="130">
        <x:v>0</x:v>
      </x:c>
    </x:row>
    <x:row r="38" spans="1:29">
      <x:c r="A38" s="132" t="s">
        <x:v>1470</x:v>
      </x:c>
      <x:c r="B38" s="132" t="s">
        <x:v>920</x:v>
      </x:c>
      <x:c r="C38" s="132" t="s">
        <x:v>1469</x:v>
      </x:c>
      <x:c r="D38" s="132" t="s">
        <x:v>1548</x:v>
      </x:c>
      <x:c r="E38" s="132" t="s">
        <x:v>919</x:v>
      </x:c>
      <x:c r="F38" s="132" t="s">
        <x:v>920</x:v>
      </x:c>
      <x:c r="M38" s="132" t="s">
        <x:v>921</x:v>
      </x:c>
      <x:c r="N38" s="132" t="s">
        <x:v>432</x:v>
      </x:c>
      <x:c r="O38" s="128">
        <x:v>44346</x:v>
      </x:c>
      <x:c r="P38" s="128">
        <x:v>44357</x:v>
      </x:c>
      <x:c r="Q38" s="128">
        <x:v>44353</x:v>
      </x:c>
      <x:c r="R38" s="128">
        <x:v>44359</x:v>
      </x:c>
      <x:c r="S38" s="129">
        <x:v>24</x:v>
      </x:c>
      <x:c r="T38" s="129">
        <x:v>4</x:v>
      </x:c>
      <x:c r="U38" s="129">
        <x:v>4</x:v>
      </x:c>
      <x:c r="V38" s="130">
        <x:v>0</x:v>
      </x:c>
      <x:c r="W38" s="129">
        <x:v>0</x:v>
      </x:c>
      <x:c r="X38" s="131">
        <x:v>1</x:v>
      </x:c>
      <x:c r="Y38" s="131">
        <x:v>0.22222222222222221</x:v>
      </x:c>
      <x:c r="Z38" s="131">
        <x:v>0.20000000000000001</x:v>
      </x:c>
      <x:c r="AC38" s="130">
        <x:v>0</x:v>
      </x:c>
    </x:row>
    <x:row r="39" spans="1:29">
      <x:c r="A39" s="132" t="s">
        <x:v>1470</x:v>
      </x:c>
      <x:c r="B39" s="132" t="s">
        <x:v>899</x:v>
      </x:c>
      <x:c r="C39" s="132" t="s">
        <x:v>1469</x:v>
      </x:c>
      <x:c r="D39" s="132" t="s">
        <x:v>1548</x:v>
      </x:c>
      <x:c r="E39" s="132" t="s">
        <x:v>919</x:v>
      </x:c>
      <x:c r="F39" s="132" t="s">
        <x:v>899</x:v>
      </x:c>
      <x:c r="M39" s="132" t="s">
        <x:v>906</x:v>
      </x:c>
      <x:c r="N39" s="132" t="s">
        <x:v>1524</x:v>
      </x:c>
      <x:c r="O39" s="128">
        <x:v>44346</x:v>
      </x:c>
      <x:c r="P39" s="128">
        <x:v>44357</x:v>
      </x:c>
      <x:c r="Q39" s="128">
        <x:v>44336</x:v>
      </x:c>
      <x:c r="R39" s="128">
        <x:v>44338</x:v>
      </x:c>
      <x:c r="S39" s="129">
        <x:v>21</x:v>
      </x:c>
      <x:c r="T39" s="129">
        <x:v>1</x:v>
      </x:c>
      <x:c r="U39" s="129">
        <x:v>0</x:v>
      </x:c>
      <x:c r="V39" s="130">
        <x:v>0</x:v>
      </x:c>
      <x:c r="W39" s="129">
        <x:v>0</x:v>
      </x:c>
      <x:c r="X39" s="131">
        <x:v>1.2</x:v>
      </x:c>
      <x:c r="Y39" s="131">
        <x:v>0.22222222222222221</x:v>
      </x:c>
      <x:c r="Z39" s="131">
        <x:v>0.14999999999999999</x:v>
      </x:c>
      <x:c r="AC39" s="130">
        <x:v>0</x:v>
      </x:c>
    </x:row>
    <x:row r="40" spans="1:29">
      <x:c r="A40" s="132" t="s">
        <x:v>1470</x:v>
      </x:c>
      <x:c r="B40" s="132" t="s">
        <x:v>899</x:v>
      </x:c>
      <x:c r="C40" s="132" t="s">
        <x:v>1469</x:v>
      </x:c>
      <x:c r="D40" s="132" t="s">
        <x:v>1548</x:v>
      </x:c>
      <x:c r="E40" s="132" t="s">
        <x:v>919</x:v>
      </x:c>
      <x:c r="F40" s="132" t="s">
        <x:v>899</x:v>
      </x:c>
      <x:c r="M40" s="132" t="s">
        <x:v>906</x:v>
      </x:c>
      <x:c r="N40" s="132" t="s">
        <x:v>1511</x:v>
      </x:c>
      <x:c r="O40" s="128">
        <x:v>44346</x:v>
      </x:c>
      <x:c r="P40" s="128">
        <x:v>44357</x:v>
      </x:c>
      <x:c r="Q40" s="128">
        <x:v>44336</x:v>
      </x:c>
      <x:c r="R40" s="128">
        <x:v>44338</x:v>
      </x:c>
      <x:c r="S40" s="129">
        <x:v>21</x:v>
      </x:c>
      <x:c r="T40" s="129">
        <x:v>1</x:v>
      </x:c>
      <x:c r="U40" s="129">
        <x:v>0</x:v>
      </x:c>
      <x:c r="V40" s="130">
        <x:v>0</x:v>
      </x:c>
      <x:c r="W40" s="129">
        <x:v>0</x:v>
      </x:c>
      <x:c r="X40" s="131">
        <x:v>0.5</x:v>
      </x:c>
      <x:c r="Y40" s="131">
        <x:v>0.22222222222222221</x:v>
      </x:c>
      <x:c r="Z40" s="131">
        <x:v>0.14999999999999999</x:v>
      </x:c>
      <x:c r="AC40" s="130">
        <x:v>0</x:v>
      </x:c>
    </x:row>
    <x:row r="41" spans="1:29">
      <x:c r="A41" s="132" t="s">
        <x:v>1470</x:v>
      </x:c>
      <x:c r="B41" s="132" t="s">
        <x:v>899</x:v>
      </x:c>
      <x:c r="C41" s="132" t="s">
        <x:v>1469</x:v>
      </x:c>
      <x:c r="D41" s="132" t="s">
        <x:v>1548</x:v>
      </x:c>
      <x:c r="E41" s="132" t="s">
        <x:v>919</x:v>
      </x:c>
      <x:c r="F41" s="132" t="s">
        <x:v>899</x:v>
      </x:c>
      <x:c r="M41" s="132" t="s">
        <x:v>906</x:v>
      </x:c>
      <x:c r="N41" s="132" t="s">
        <x:v>1524</x:v>
      </x:c>
      <x:c r="O41" s="128">
        <x:v>44346</x:v>
      </x:c>
      <x:c r="P41" s="128">
        <x:v>44357</x:v>
      </x:c>
      <x:c r="Q41" s="128">
        <x:v>44339</x:v>
      </x:c>
      <x:c r="R41" s="128">
        <x:v>44345</x:v>
      </x:c>
      <x:c r="S41" s="129">
        <x:v>22</x:v>
      </x:c>
      <x:c r="T41" s="129">
        <x:v>2</x:v>
      </x:c>
      <x:c r="U41" s="129">
        <x:v>0</x:v>
      </x:c>
      <x:c r="V41" s="130">
        <x:v>0</x:v>
      </x:c>
      <x:c r="W41" s="129">
        <x:v>0</x:v>
      </x:c>
      <x:c r="X41" s="131">
        <x:v>1.2</x:v>
      </x:c>
      <x:c r="Y41" s="131">
        <x:v>0.22222222222222221</x:v>
      </x:c>
      <x:c r="Z41" s="131">
        <x:v>0.14999999999999999</x:v>
      </x:c>
      <x:c r="AC41" s="130">
        <x:v>0</x:v>
      </x:c>
    </x:row>
    <x:row r="42" spans="1:29">
      <x:c r="A42" s="132" t="s">
        <x:v>1470</x:v>
      </x:c>
      <x:c r="B42" s="132" t="s">
        <x:v>899</x:v>
      </x:c>
      <x:c r="C42" s="132" t="s">
        <x:v>1469</x:v>
      </x:c>
      <x:c r="D42" s="132" t="s">
        <x:v>1548</x:v>
      </x:c>
      <x:c r="E42" s="132" t="s">
        <x:v>919</x:v>
      </x:c>
      <x:c r="F42" s="132" t="s">
        <x:v>899</x:v>
      </x:c>
      <x:c r="M42" s="132" t="s">
        <x:v>906</x:v>
      </x:c>
      <x:c r="N42" s="132" t="s">
        <x:v>1511</x:v>
      </x:c>
      <x:c r="O42" s="128">
        <x:v>44346</x:v>
      </x:c>
      <x:c r="P42" s="128">
        <x:v>44357</x:v>
      </x:c>
      <x:c r="Q42" s="128">
        <x:v>44339</x:v>
      </x:c>
      <x:c r="R42" s="128">
        <x:v>44345</x:v>
      </x:c>
      <x:c r="S42" s="129">
        <x:v>22</x:v>
      </x:c>
      <x:c r="T42" s="129">
        <x:v>2</x:v>
      </x:c>
      <x:c r="U42" s="129">
        <x:v>0</x:v>
      </x:c>
      <x:c r="V42" s="130">
        <x:v>0</x:v>
      </x:c>
      <x:c r="W42" s="129">
        <x:v>0</x:v>
      </x:c>
      <x:c r="X42" s="131">
        <x:v>0.5</x:v>
      </x:c>
      <x:c r="Y42" s="131">
        <x:v>0.22222222222222221</x:v>
      </x:c>
      <x:c r="Z42" s="131">
        <x:v>0.14999999999999999</x:v>
      </x:c>
      <x:c r="AC42" s="130">
        <x:v>0</x:v>
      </x:c>
    </x:row>
    <x:row r="43" spans="1:29">
      <x:c r="A43" s="132" t="s">
        <x:v>1470</x:v>
      </x:c>
      <x:c r="B43" s="132" t="s">
        <x:v>899</x:v>
      </x:c>
      <x:c r="C43" s="132" t="s">
        <x:v>1469</x:v>
      </x:c>
      <x:c r="D43" s="132" t="s">
        <x:v>1548</x:v>
      </x:c>
      <x:c r="E43" s="132" t="s">
        <x:v>919</x:v>
      </x:c>
      <x:c r="F43" s="132" t="s">
        <x:v>899</x:v>
      </x:c>
      <x:c r="M43" s="132" t="s">
        <x:v>906</x:v>
      </x:c>
      <x:c r="N43" s="132" t="s">
        <x:v>1524</x:v>
      </x:c>
      <x:c r="O43" s="128">
        <x:v>44346</x:v>
      </x:c>
      <x:c r="P43" s="128">
        <x:v>44357</x:v>
      </x:c>
      <x:c r="Q43" s="128">
        <x:v>44346</x:v>
      </x:c>
      <x:c r="R43" s="128">
        <x:v>44352</x:v>
      </x:c>
      <x:c r="S43" s="129">
        <x:v>23</x:v>
      </x:c>
      <x:c r="T43" s="129">
        <x:v>3</x:v>
      </x:c>
      <x:c r="U43" s="129">
        <x:v>6</x:v>
      </x:c>
      <x:c r="V43" s="130">
        <x:v>2.3999999999999999</x:v>
      </x:c>
      <x:c r="W43" s="129">
        <x:v>0</x:v>
      </x:c>
      <x:c r="X43" s="131">
        <x:v>1.2</x:v>
      </x:c>
      <x:c r="Y43" s="131">
        <x:v>0.22222222222222221</x:v>
      </x:c>
      <x:c r="Z43" s="131">
        <x:v>0.14999999999999999</x:v>
      </x:c>
      <x:c r="AC43" s="130">
        <x:v>0</x:v>
      </x:c>
    </x:row>
    <x:row r="44" spans="1:29">
      <x:c r="A44" s="132" t="s">
        <x:v>1470</x:v>
      </x:c>
      <x:c r="B44" s="132" t="s">
        <x:v>899</x:v>
      </x:c>
      <x:c r="C44" s="132" t="s">
        <x:v>1469</x:v>
      </x:c>
      <x:c r="D44" s="132" t="s">
        <x:v>1548</x:v>
      </x:c>
      <x:c r="E44" s="132" t="s">
        <x:v>919</x:v>
      </x:c>
      <x:c r="F44" s="132" t="s">
        <x:v>899</x:v>
      </x:c>
      <x:c r="M44" s="132" t="s">
        <x:v>906</x:v>
      </x:c>
      <x:c r="N44" s="132" t="s">
        <x:v>1511</x:v>
      </x:c>
      <x:c r="O44" s="128">
        <x:v>44346</x:v>
      </x:c>
      <x:c r="P44" s="128">
        <x:v>44357</x:v>
      </x:c>
      <x:c r="Q44" s="128">
        <x:v>44346</x:v>
      </x:c>
      <x:c r="R44" s="128">
        <x:v>44352</x:v>
      </x:c>
      <x:c r="S44" s="129">
        <x:v>23</x:v>
      </x:c>
      <x:c r="T44" s="129">
        <x:v>3</x:v>
      </x:c>
      <x:c r="U44" s="129">
        <x:v>2.5</x:v>
      </x:c>
      <x:c r="V44" s="130">
        <x:v>1</x:v>
      </x:c>
      <x:c r="W44" s="129">
        <x:v>0</x:v>
      </x:c>
      <x:c r="X44" s="131">
        <x:v>0.5</x:v>
      </x:c>
      <x:c r="Y44" s="131">
        <x:v>0.22222222222222221</x:v>
      </x:c>
      <x:c r="Z44" s="131">
        <x:v>0.14999999999999999</x:v>
      </x:c>
      <x:c r="AC44" s="130">
        <x:v>0</x:v>
      </x:c>
    </x:row>
    <x:row r="45" spans="1:29">
      <x:c r="A45" s="132" t="s">
        <x:v>1470</x:v>
      </x:c>
      <x:c r="B45" s="132" t="s">
        <x:v>899</x:v>
      </x:c>
      <x:c r="C45" s="132" t="s">
        <x:v>1469</x:v>
      </x:c>
      <x:c r="D45" s="132" t="s">
        <x:v>1548</x:v>
      </x:c>
      <x:c r="E45" s="132" t="s">
        <x:v>919</x:v>
      </x:c>
      <x:c r="F45" s="132" t="s">
        <x:v>899</x:v>
      </x:c>
      <x:c r="M45" s="132" t="s">
        <x:v>906</x:v>
      </x:c>
      <x:c r="N45" s="132" t="s">
        <x:v>1524</x:v>
      </x:c>
      <x:c r="O45" s="128">
        <x:v>44346</x:v>
      </x:c>
      <x:c r="P45" s="128">
        <x:v>44357</x:v>
      </x:c>
      <x:c r="Q45" s="128">
        <x:v>44353</x:v>
      </x:c>
      <x:c r="R45" s="128">
        <x:v>44359</x:v>
      </x:c>
      <x:c r="S45" s="129">
        <x:v>24</x:v>
      </x:c>
      <x:c r="T45" s="129">
        <x:v>4</x:v>
      </x:c>
      <x:c r="U45" s="129">
        <x:v>4.7999999999999998</x:v>
      </x:c>
      <x:c r="V45" s="130">
        <x:v>0</x:v>
      </x:c>
      <x:c r="W45" s="129">
        <x:v>0</x:v>
      </x:c>
      <x:c r="X45" s="131">
        <x:v>1.2</x:v>
      </x:c>
      <x:c r="Y45" s="131">
        <x:v>0.22222222222222221</x:v>
      </x:c>
      <x:c r="Z45" s="131">
        <x:v>0.14999999999999999</x:v>
      </x:c>
      <x:c r="AC45" s="130">
        <x:v>0</x:v>
      </x:c>
    </x:row>
    <x:row r="46" spans="1:29">
      <x:c r="A46" s="132" t="s">
        <x:v>1470</x:v>
      </x:c>
      <x:c r="B46" s="132" t="s">
        <x:v>899</x:v>
      </x:c>
      <x:c r="C46" s="132" t="s">
        <x:v>1469</x:v>
      </x:c>
      <x:c r="D46" s="132" t="s">
        <x:v>1548</x:v>
      </x:c>
      <x:c r="E46" s="132" t="s">
        <x:v>919</x:v>
      </x:c>
      <x:c r="F46" s="132" t="s">
        <x:v>899</x:v>
      </x:c>
      <x:c r="M46" s="132" t="s">
        <x:v>906</x:v>
      </x:c>
      <x:c r="N46" s="132" t="s">
        <x:v>1511</x:v>
      </x:c>
      <x:c r="O46" s="128">
        <x:v>44346</x:v>
      </x:c>
      <x:c r="P46" s="128">
        <x:v>44357</x:v>
      </x:c>
      <x:c r="Q46" s="128">
        <x:v>44353</x:v>
      </x:c>
      <x:c r="R46" s="128">
        <x:v>44359</x:v>
      </x:c>
      <x:c r="S46" s="129">
        <x:v>24</x:v>
      </x:c>
      <x:c r="T46" s="129">
        <x:v>4</x:v>
      </x:c>
      <x:c r="U46" s="129">
        <x:v>2</x:v>
      </x:c>
      <x:c r="V46" s="130">
        <x:v>0</x:v>
      </x:c>
      <x:c r="W46" s="129">
        <x:v>0</x:v>
      </x:c>
      <x:c r="X46" s="131">
        <x:v>0.5</x:v>
      </x:c>
      <x:c r="Y46" s="131">
        <x:v>0.22222222222222221</x:v>
      </x:c>
      <x:c r="Z46" s="131">
        <x:v>0.14999999999999999</x:v>
      </x:c>
      <x:c r="AC46" s="130">
        <x:v>0</x:v>
      </x:c>
    </x:row>
    <x:row r="47" spans="1:29">
      <x:c r="A47" s="132" t="s">
        <x:v>1480</x:v>
      </x:c>
      <x:c r="B47" s="132" t="s">
        <x:v>897</x:v>
      </x:c>
      <x:c r="C47" s="132" t="s">
        <x:v>1469</x:v>
      </x:c>
      <x:c r="D47" s="132" t="s">
        <x:v>1534</x:v>
      </x:c>
      <x:c r="E47" s="132" t="s">
        <x:v>897</x:v>
      </x:c>
      <x:c r="M47" s="132" t="s">
        <x:v>903</x:v>
      </x:c>
      <x:c r="N47" s="132" t="s">
        <x:v>432</x:v>
      </x:c>
      <x:c r="O47" s="128">
        <x:v>44360</x:v>
      </x:c>
      <x:c r="P47" s="128">
        <x:v>44378</x:v>
      </x:c>
      <x:c r="Q47" s="128">
        <x:v>44360</x:v>
      </x:c>
      <x:c r="R47" s="128">
        <x:v>44366</x:v>
      </x:c>
      <x:c r="S47" s="129">
        <x:v>25</x:v>
      </x:c>
      <x:c r="T47" s="129">
        <x:v>5</x:v>
      </x:c>
      <x:c r="U47" s="129">
        <x:v>5</x:v>
      </x:c>
      <x:c r="V47" s="130">
        <x:v>0</x:v>
      </x:c>
      <x:c r="W47" s="129">
        <x:v>0</x:v>
      </x:c>
      <x:c r="X47" s="131">
        <x:v>1</x:v>
      </x:c>
      <x:c r="Y47" s="131">
        <x:v>0</x:v>
      </x:c>
      <x:c r="Z47" s="131">
        <x:v>0</x:v>
      </x:c>
      <x:c r="AC47" s="130">
        <x:v>0</x:v>
      </x:c>
    </x:row>
    <x:row r="48" spans="1:29">
      <x:c r="A48" s="132" t="s">
        <x:v>1480</x:v>
      </x:c>
      <x:c r="B48" s="132" t="s">
        <x:v>897</x:v>
      </x:c>
      <x:c r="C48" s="132" t="s">
        <x:v>1469</x:v>
      </x:c>
      <x:c r="D48" s="132" t="s">
        <x:v>1534</x:v>
      </x:c>
      <x:c r="E48" s="132" t="s">
        <x:v>897</x:v>
      </x:c>
      <x:c r="M48" s="132" t="s">
        <x:v>903</x:v>
      </x:c>
      <x:c r="N48" s="132" t="s">
        <x:v>432</x:v>
      </x:c>
      <x:c r="O48" s="128">
        <x:v>44360</x:v>
      </x:c>
      <x:c r="P48" s="128">
        <x:v>44378</x:v>
      </x:c>
      <x:c r="Q48" s="128">
        <x:v>44367</x:v>
      </x:c>
      <x:c r="R48" s="128">
        <x:v>44373</x:v>
      </x:c>
      <x:c r="S48" s="129">
        <x:v>26</x:v>
      </x:c>
      <x:c r="T48" s="129">
        <x:v>6</x:v>
      </x:c>
      <x:c r="U48" s="129">
        <x:v>5</x:v>
      </x:c>
      <x:c r="V48" s="130">
        <x:v>0</x:v>
      </x:c>
      <x:c r="W48" s="129">
        <x:v>0</x:v>
      </x:c>
      <x:c r="X48" s="131">
        <x:v>1</x:v>
      </x:c>
      <x:c r="Y48" s="131">
        <x:v>0</x:v>
      </x:c>
      <x:c r="Z48" s="131">
        <x:v>0</x:v>
      </x:c>
      <x:c r="AC48" s="130">
        <x:v>0</x:v>
      </x:c>
    </x:row>
    <x:row r="49" spans="1:29">
      <x:c r="A49" s="132" t="s">
        <x:v>1480</x:v>
      </x:c>
      <x:c r="B49" s="132" t="s">
        <x:v>897</x:v>
      </x:c>
      <x:c r="C49" s="132" t="s">
        <x:v>1469</x:v>
      </x:c>
      <x:c r="D49" s="132" t="s">
        <x:v>1534</x:v>
      </x:c>
      <x:c r="E49" s="132" t="s">
        <x:v>897</x:v>
      </x:c>
      <x:c r="M49" s="132" t="s">
        <x:v>903</x:v>
      </x:c>
      <x:c r="N49" s="132" t="s">
        <x:v>432</x:v>
      </x:c>
      <x:c r="O49" s="128">
        <x:v>44360</x:v>
      </x:c>
      <x:c r="P49" s="128">
        <x:v>44378</x:v>
      </x:c>
      <x:c r="Q49" s="128">
        <x:v>44374</x:v>
      </x:c>
      <x:c r="R49" s="128">
        <x:v>44380</x:v>
      </x:c>
      <x:c r="S49" s="129">
        <x:v>27</x:v>
      </x:c>
      <x:c r="T49" s="129">
        <x:v>7</x:v>
      </x:c>
      <x:c r="U49" s="129">
        <x:v>4</x:v>
      </x:c>
      <x:c r="V49" s="130">
        <x:v>0</x:v>
      </x:c>
      <x:c r="W49" s="129">
        <x:v>0</x:v>
      </x:c>
      <x:c r="X49" s="131">
        <x:v>1</x:v>
      </x:c>
      <x:c r="Y49" s="131">
        <x:v>0</x:v>
      </x:c>
      <x:c r="Z49" s="131">
        <x:v>0</x:v>
      </x:c>
      <x:c r="AC49" s="130">
        <x:v>0</x:v>
      </x:c>
    </x:row>
    <x:row r="50" spans="1:29">
      <x:c r="A50" s="132" t="s">
        <x:v>1470</x:v>
      </x:c>
      <x:c r="B50" s="132" t="s">
        <x:v>905</x:v>
      </x:c>
      <x:c r="C50" s="132" t="s">
        <x:v>1469</x:v>
      </x:c>
      <x:c r="D50" s="132" t="s">
        <x:v>1534</x:v>
      </x:c>
      <x:c r="E50" s="132" t="s">
        <x:v>902</x:v>
      </x:c>
      <x:c r="F50" s="132" t="s">
        <x:v>905</x:v>
      </x:c>
      <x:c r="M50" s="132" t="s">
        <x:v>1362</x:v>
      </x:c>
      <x:c r="N50" s="132" t="s">
        <x:v>432</x:v>
      </x:c>
      <x:c r="O50" s="128">
        <x:v>44367</x:v>
      </x:c>
      <x:c r="P50" s="128">
        <x:v>44378</x:v>
      </x:c>
      <x:c r="Q50" s="128">
        <x:v>44367</x:v>
      </x:c>
      <x:c r="R50" s="128">
        <x:v>44373</x:v>
      </x:c>
      <x:c r="S50" s="129">
        <x:v>26</x:v>
      </x:c>
      <x:c r="T50" s="129">
        <x:v>6</x:v>
      </x:c>
      <x:c r="U50" s="129">
        <x:v>5</x:v>
      </x:c>
      <x:c r="V50" s="130">
        <x:v>0</x:v>
      </x:c>
      <x:c r="W50" s="129">
        <x:v>0</x:v>
      </x:c>
      <x:c r="X50" s="131">
        <x:v>1</x:v>
      </x:c>
      <x:c r="Y50" s="131">
        <x:v>0</x:v>
      </x:c>
      <x:c r="Z50" s="131">
        <x:v>0</x:v>
      </x:c>
      <x:c r="AC50" s="130">
        <x:v>0</x:v>
      </x:c>
    </x:row>
    <x:row r="51" spans="1:29">
      <x:c r="A51" s="132" t="s">
        <x:v>1470</x:v>
      </x:c>
      <x:c r="B51" s="132" t="s">
        <x:v>905</x:v>
      </x:c>
      <x:c r="C51" s="132" t="s">
        <x:v>1469</x:v>
      </x:c>
      <x:c r="D51" s="132" t="s">
        <x:v>1534</x:v>
      </x:c>
      <x:c r="E51" s="132" t="s">
        <x:v>902</x:v>
      </x:c>
      <x:c r="F51" s="132" t="s">
        <x:v>905</x:v>
      </x:c>
      <x:c r="M51" s="132" t="s">
        <x:v>1362</x:v>
      </x:c>
      <x:c r="N51" s="132" t="s">
        <x:v>432</x:v>
      </x:c>
      <x:c r="O51" s="128">
        <x:v>44367</x:v>
      </x:c>
      <x:c r="P51" s="128">
        <x:v>44378</x:v>
      </x:c>
      <x:c r="Q51" s="128">
        <x:v>44374</x:v>
      </x:c>
      <x:c r="R51" s="128">
        <x:v>44380</x:v>
      </x:c>
      <x:c r="S51" s="129">
        <x:v>27</x:v>
      </x:c>
      <x:c r="T51" s="129">
        <x:v>7</x:v>
      </x:c>
      <x:c r="U51" s="129">
        <x:v>4</x:v>
      </x:c>
      <x:c r="V51" s="130">
        <x:v>0</x:v>
      </x:c>
      <x:c r="W51" s="129">
        <x:v>0</x:v>
      </x:c>
      <x:c r="X51" s="131">
        <x:v>1</x:v>
      </x:c>
      <x:c r="Y51" s="131">
        <x:v>0</x:v>
      </x:c>
      <x:c r="Z51" s="131">
        <x:v>0</x:v>
      </x:c>
      <x:c r="AC51" s="130">
        <x:v>0</x:v>
      </x:c>
    </x:row>
    <x:row r="52" spans="1:29">
      <x:c r="A52" s="132" t="s">
        <x:v>1470</x:v>
      </x:c>
      <x:c r="B52" s="132" t="s">
        <x:v>891</x:v>
      </x:c>
      <x:c r="C52" s="132" t="s">
        <x:v>1469</x:v>
      </x:c>
      <x:c r="D52" s="132" t="s">
        <x:v>1534</x:v>
      </x:c>
      <x:c r="E52" s="132" t="s">
        <x:v>902</x:v>
      </x:c>
      <x:c r="F52" s="132" t="s">
        <x:v>891</x:v>
      </x:c>
      <x:c r="M52" s="132" t="s">
        <x:v>944</x:v>
      </x:c>
      <x:c r="N52" s="132" t="s">
        <x:v>432</x:v>
      </x:c>
      <x:c r="O52" s="128">
        <x:v>44374</x:v>
      </x:c>
      <x:c r="P52" s="128">
        <x:v>44385</x:v>
      </x:c>
      <x:c r="Q52" s="128">
        <x:v>44374</x:v>
      </x:c>
      <x:c r="R52" s="128">
        <x:v>44380</x:v>
      </x:c>
      <x:c r="S52" s="129">
        <x:v>27</x:v>
      </x:c>
      <x:c r="T52" s="129">
        <x:v>7</x:v>
      </x:c>
      <x:c r="U52" s="129">
        <x:v>5</x:v>
      </x:c>
      <x:c r="V52" s="130">
        <x:v>0</x:v>
      </x:c>
      <x:c r="W52" s="129">
        <x:v>0</x:v>
      </x:c>
      <x:c r="X52" s="131">
        <x:v>1</x:v>
      </x:c>
      <x:c r="Y52" s="131">
        <x:v>0</x:v>
      </x:c>
      <x:c r="Z52" s="131">
        <x:v>0</x:v>
      </x:c>
      <x:c r="AC52" s="130">
        <x:v>0</x:v>
      </x:c>
    </x:row>
    <x:row r="53" spans="1:29">
      <x:c r="A53" s="132" t="s">
        <x:v>1470</x:v>
      </x:c>
      <x:c r="B53" s="132" t="s">
        <x:v>891</x:v>
      </x:c>
      <x:c r="C53" s="132" t="s">
        <x:v>1469</x:v>
      </x:c>
      <x:c r="D53" s="132" t="s">
        <x:v>1534</x:v>
      </x:c>
      <x:c r="E53" s="132" t="s">
        <x:v>902</x:v>
      </x:c>
      <x:c r="F53" s="132" t="s">
        <x:v>891</x:v>
      </x:c>
      <x:c r="M53" s="132" t="s">
        <x:v>944</x:v>
      </x:c>
      <x:c r="N53" s="132" t="s">
        <x:v>432</x:v>
      </x:c>
      <x:c r="O53" s="128">
        <x:v>44374</x:v>
      </x:c>
      <x:c r="P53" s="128">
        <x:v>44385</x:v>
      </x:c>
      <x:c r="Q53" s="128">
        <x:v>44381</x:v>
      </x:c>
      <x:c r="R53" s="128">
        <x:v>44387</x:v>
      </x:c>
      <x:c r="S53" s="129">
        <x:v>28</x:v>
      </x:c>
      <x:c r="T53" s="129">
        <x:v>8</x:v>
      </x:c>
      <x:c r="U53" s="129">
        <x:v>4</x:v>
      </x:c>
      <x:c r="V53" s="130">
        <x:v>0</x:v>
      </x:c>
      <x:c r="W53" s="129">
        <x:v>0</x:v>
      </x:c>
      <x:c r="X53" s="131">
        <x:v>1</x:v>
      </x:c>
      <x:c r="Y53" s="131">
        <x:v>0</x:v>
      </x:c>
      <x:c r="Z53" s="131">
        <x:v>0</x:v>
      </x:c>
      <x:c r="AC53" s="130">
        <x:v>0</x:v>
      </x:c>
    </x:row>
    <x:row r="54" spans="1:29">
      <x:c r="A54" s="132" t="s">
        <x:v>1470</x:v>
      </x:c>
      <x:c r="B54" s="132" t="s">
        <x:v>912</x:v>
      </x:c>
      <x:c r="C54" s="132" t="s">
        <x:v>1469</x:v>
      </x:c>
      <x:c r="D54" s="132" t="s">
        <x:v>1534</x:v>
      </x:c>
      <x:c r="E54" s="132" t="s">
        <x:v>902</x:v>
      </x:c>
      <x:c r="F54" s="132" t="s">
        <x:v>912</x:v>
      </x:c>
      <x:c r="M54" s="132" t="s">
        <x:v>895</x:v>
      </x:c>
      <x:c r="N54" s="132" t="s">
        <x:v>432</x:v>
      </x:c>
      <x:c r="O54" s="128">
        <x:v>44374</x:v>
      </x:c>
      <x:c r="P54" s="128">
        <x:v>44392</x:v>
      </x:c>
      <x:c r="Q54" s="128">
        <x:v>44374</x:v>
      </x:c>
      <x:c r="R54" s="128">
        <x:v>44380</x:v>
      </x:c>
      <x:c r="S54" s="129">
        <x:v>27</x:v>
      </x:c>
      <x:c r="T54" s="129">
        <x:v>7</x:v>
      </x:c>
      <x:c r="U54" s="129">
        <x:v>5</x:v>
      </x:c>
      <x:c r="V54" s="130">
        <x:v>0</x:v>
      </x:c>
      <x:c r="W54" s="129">
        <x:v>0</x:v>
      </x:c>
      <x:c r="X54" s="131">
        <x:v>1</x:v>
      </x:c>
      <x:c r="Y54" s="131">
        <x:v>0</x:v>
      </x:c>
      <x:c r="Z54" s="131">
        <x:v>0</x:v>
      </x:c>
      <x:c r="AC54" s="130">
        <x:v>0</x:v>
      </x:c>
    </x:row>
    <x:row r="55" spans="1:29">
      <x:c r="A55" s="132" t="s">
        <x:v>1470</x:v>
      </x:c>
      <x:c r="B55" s="132" t="s">
        <x:v>912</x:v>
      </x:c>
      <x:c r="C55" s="132" t="s">
        <x:v>1469</x:v>
      </x:c>
      <x:c r="D55" s="132" t="s">
        <x:v>1534</x:v>
      </x:c>
      <x:c r="E55" s="132" t="s">
        <x:v>902</x:v>
      </x:c>
      <x:c r="F55" s="132" t="s">
        <x:v>912</x:v>
      </x:c>
      <x:c r="M55" s="132" t="s">
        <x:v>895</x:v>
      </x:c>
      <x:c r="N55" s="132" t="s">
        <x:v>432</x:v>
      </x:c>
      <x:c r="O55" s="128">
        <x:v>44374</x:v>
      </x:c>
      <x:c r="P55" s="128">
        <x:v>44392</x:v>
      </x:c>
      <x:c r="Q55" s="128">
        <x:v>44381</x:v>
      </x:c>
      <x:c r="R55" s="128">
        <x:v>44387</x:v>
      </x:c>
      <x:c r="S55" s="129">
        <x:v>28</x:v>
      </x:c>
      <x:c r="T55" s="129">
        <x:v>8</x:v>
      </x:c>
      <x:c r="U55" s="129">
        <x:v>5</x:v>
      </x:c>
      <x:c r="V55" s="130">
        <x:v>0</x:v>
      </x:c>
      <x:c r="W55" s="129">
        <x:v>0</x:v>
      </x:c>
      <x:c r="X55" s="131">
        <x:v>1</x:v>
      </x:c>
      <x:c r="Y55" s="131">
        <x:v>0</x:v>
      </x:c>
      <x:c r="Z55" s="131">
        <x:v>0</x:v>
      </x:c>
      <x:c r="AC55" s="130">
        <x:v>0</x:v>
      </x:c>
    </x:row>
    <x:row r="56" spans="1:29">
      <x:c r="A56" s="132" t="s">
        <x:v>1470</x:v>
      </x:c>
      <x:c r="B56" s="132" t="s">
        <x:v>912</x:v>
      </x:c>
      <x:c r="C56" s="132" t="s">
        <x:v>1469</x:v>
      </x:c>
      <x:c r="D56" s="132" t="s">
        <x:v>1534</x:v>
      </x:c>
      <x:c r="E56" s="132" t="s">
        <x:v>902</x:v>
      </x:c>
      <x:c r="F56" s="132" t="s">
        <x:v>912</x:v>
      </x:c>
      <x:c r="M56" s="132" t="s">
        <x:v>895</x:v>
      </x:c>
      <x:c r="N56" s="132" t="s">
        <x:v>432</x:v>
      </x:c>
      <x:c r="O56" s="128">
        <x:v>44374</x:v>
      </x:c>
      <x:c r="P56" s="128">
        <x:v>44392</x:v>
      </x:c>
      <x:c r="Q56" s="128">
        <x:v>44388</x:v>
      </x:c>
      <x:c r="R56" s="128">
        <x:v>44394</x:v>
      </x:c>
      <x:c r="S56" s="129">
        <x:v>29</x:v>
      </x:c>
      <x:c r="T56" s="129">
        <x:v>9</x:v>
      </x:c>
      <x:c r="U56" s="129">
        <x:v>4</x:v>
      </x:c>
      <x:c r="V56" s="130">
        <x:v>0</x:v>
      </x:c>
      <x:c r="W56" s="129">
        <x:v>0</x:v>
      </x:c>
      <x:c r="X56" s="131">
        <x:v>1</x:v>
      </x:c>
      <x:c r="Y56" s="131">
        <x:v>0</x:v>
      </x:c>
      <x:c r="Z56" s="131">
        <x:v>0</x:v>
      </x:c>
      <x:c r="AC56" s="130">
        <x:v>0</x:v>
      </x:c>
    </x:row>
    <x:row r="57" spans="1:29">
      <x:c r="A57" s="132" t="s">
        <x:v>1480</x:v>
      </x:c>
      <x:c r="B57" s="132" t="s">
        <x:v>914</x:v>
      </x:c>
      <x:c r="C57" s="132" t="s">
        <x:v>1469</x:v>
      </x:c>
      <x:c r="D57" s="132" t="s">
        <x:v>1534</x:v>
      </x:c>
      <x:c r="E57" s="132" t="s">
        <x:v>914</x:v>
      </x:c>
      <x:c r="M57" s="132" t="s">
        <x:v>909</x:v>
      </x:c>
      <x:c r="N57" s="132" t="s">
        <x:v>432</x:v>
      </x:c>
      <x:c r="O57" s="128">
        <x:v>44395</x:v>
      </x:c>
      <x:c r="P57" s="128">
        <x:v>44399</x:v>
      </x:c>
      <x:c r="Q57" s="128">
        <x:v>44395</x:v>
      </x:c>
      <x:c r="R57" s="128">
        <x:v>44401</x:v>
      </x:c>
      <x:c r="S57" s="129">
        <x:v>30</x:v>
      </x:c>
      <x:c r="T57" s="129">
        <x:v>10</x:v>
      </x:c>
      <x:c r="U57" s="129">
        <x:v>4</x:v>
      </x:c>
      <x:c r="V57" s="130">
        <x:v>0</x:v>
      </x:c>
      <x:c r="W57" s="129">
        <x:v>0</x:v>
      </x:c>
      <x:c r="X57" s="131">
        <x:v>1</x:v>
      </x:c>
      <x:c r="Y57" s="131">
        <x:v>0</x:v>
      </x:c>
      <x:c r="Z57" s="131">
        <x:v>0</x:v>
      </x:c>
      <x:c r="AC57" s="130">
        <x:v>0</x:v>
      </x:c>
    </x:row>
    <x:row r="58" spans="1:29">
      <x:c r="A58" s="132" t="s">
        <x:v>1470</x:v>
      </x:c>
      <x:c r="B58" s="132" t="s">
        <x:v>908</x:v>
      </x:c>
      <x:c r="C58" s="132" t="s">
        <x:v>1469</x:v>
      </x:c>
      <x:c r="D58" s="132" t="s">
        <x:v>1536</x:v>
      </x:c>
      <x:c r="E58" s="132" t="s">
        <x:v>907</x:v>
      </x:c>
      <x:c r="F58" s="132" t="s">
        <x:v>908</x:v>
      </x:c>
      <x:c r="M58" s="132" t="s">
        <x:v>946</x:v>
      </x:c>
      <x:c r="N58" s="132" t="s">
        <x:v>432</x:v>
      </x:c>
      <x:c r="O58" s="128">
        <x:v>44395</x:v>
      </x:c>
      <x:c r="P58" s="128">
        <x:v>44399</x:v>
      </x:c>
      <x:c r="Q58" s="128">
        <x:v>44395</x:v>
      </x:c>
      <x:c r="R58" s="128">
        <x:v>44401</x:v>
      </x:c>
      <x:c r="S58" s="129">
        <x:v>30</x:v>
      </x:c>
      <x:c r="T58" s="129">
        <x:v>10</x:v>
      </x:c>
      <x:c r="U58" s="129">
        <x:v>4</x:v>
      </x:c>
      <x:c r="V58" s="130">
        <x:v>0</x:v>
      </x:c>
      <x:c r="W58" s="129">
        <x:v>0</x:v>
      </x:c>
      <x:c r="X58" s="131">
        <x:v>1</x:v>
      </x:c>
      <x:c r="Y58" s="131">
        <x:v>0</x:v>
      </x:c>
      <x:c r="Z58" s="131">
        <x:v>0</x:v>
      </x:c>
      <x:c r="AC58" s="130">
        <x:v>0</x:v>
      </x:c>
    </x:row>
    <x:row r="59" spans="1:29">
      <x:c r="A59" s="132" t="s">
        <x:v>1490</x:v>
      </x:c>
      <x:c r="B59" s="132" t="s">
        <x:v>947</x:v>
      </x:c>
      <x:c r="C59" s="132" t="s">
        <x:v>1469</x:v>
      </x:c>
      <x:c r="D59" s="132" t="s">
        <x:v>1536</x:v>
      </x:c>
      <x:c r="E59" s="132" t="s">
        <x:v>907</x:v>
      </x:c>
      <x:c r="F59" s="132" t="s">
        <x:v>917</x:v>
      </x:c>
      <x:c r="G59" s="132" t="s">
        <x:v>942</x:v>
      </x:c>
      <x:c r="H59" s="132" t="s">
        <x:v>947</x:v>
      </x:c>
      <x:c r="M59" s="132" t="s">
        <x:v>893</x:v>
      </x:c>
      <x:c r="N59" s="132" t="s">
        <x:v>432</x:v>
      </x:c>
      <x:c r="O59" s="128">
        <x:v>44395</x:v>
      </x:c>
      <x:c r="P59" s="128">
        <x:v>44399</x:v>
      </x:c>
      <x:c r="Q59" s="128">
        <x:v>44395</x:v>
      </x:c>
      <x:c r="R59" s="128">
        <x:v>44401</x:v>
      </x:c>
      <x:c r="S59" s="129">
        <x:v>30</x:v>
      </x:c>
      <x:c r="T59" s="129">
        <x:v>10</x:v>
      </x:c>
      <x:c r="U59" s="129">
        <x:v>4</x:v>
      </x:c>
      <x:c r="V59" s="130">
        <x:v>0</x:v>
      </x:c>
      <x:c r="W59" s="129">
        <x:v>0</x:v>
      </x:c>
      <x:c r="X59" s="131">
        <x:v>1</x:v>
      </x:c>
      <x:c r="Y59" s="131">
        <x:v>0</x:v>
      </x:c>
      <x:c r="Z59" s="131">
        <x:v>0</x:v>
      </x:c>
      <x:c r="AC59" s="130">
        <x:v>0</x:v>
      </x:c>
    </x:row>
    <x:row r="60" spans="1:29">
      <x:c r="A60" s="132" t="s">
        <x:v>1490</x:v>
      </x:c>
      <x:c r="B60" s="132" t="s">
        <x:v>945</x:v>
      </x:c>
      <x:c r="C60" s="132" t="s">
        <x:v>1469</x:v>
      </x:c>
      <x:c r="D60" s="132" t="s">
        <x:v>1536</x:v>
      </x:c>
      <x:c r="E60" s="132" t="s">
        <x:v>907</x:v>
      </x:c>
      <x:c r="F60" s="132" t="s">
        <x:v>917</x:v>
      </x:c>
      <x:c r="G60" s="132" t="s">
        <x:v>942</x:v>
      </x:c>
      <x:c r="H60" s="132" t="s">
        <x:v>945</x:v>
      </x:c>
      <x:c r="M60" s="132" t="s">
        <x:v>922</x:v>
      </x:c>
      <x:c r="N60" s="132" t="s">
        <x:v>432</x:v>
      </x:c>
      <x:c r="O60" s="128">
        <x:v>44402</x:v>
      </x:c>
      <x:c r="P60" s="128">
        <x:v>44406</x:v>
      </x:c>
      <x:c r="Q60" s="128">
        <x:v>44402</x:v>
      </x:c>
      <x:c r="R60" s="128">
        <x:v>44408</x:v>
      </x:c>
      <x:c r="S60" s="129">
        <x:v>31</x:v>
      </x:c>
      <x:c r="T60" s="129">
        <x:v>11</x:v>
      </x:c>
      <x:c r="U60" s="129">
        <x:v>4</x:v>
      </x:c>
      <x:c r="V60" s="130">
        <x:v>0</x:v>
      </x:c>
      <x:c r="W60" s="129">
        <x:v>0</x:v>
      </x:c>
      <x:c r="X60" s="131">
        <x:v>1</x:v>
      </x:c>
      <x:c r="Y60" s="131">
        <x:v>0</x:v>
      </x:c>
      <x:c r="Z60" s="131">
        <x:v>0</x:v>
      </x:c>
      <x:c r="AC60" s="130">
        <x:v>0</x:v>
      </x:c>
    </x:row>
    <x:row r="61" spans="1:29">
      <x:c r="A61" s="132" t="s">
        <x:v>1490</x:v>
      </x:c>
      <x:c r="B61" s="132" t="s">
        <x:v>943</x:v>
      </x:c>
      <x:c r="C61" s="132" t="s">
        <x:v>1469</x:v>
      </x:c>
      <x:c r="D61" s="132" t="s">
        <x:v>1536</x:v>
      </x:c>
      <x:c r="E61" s="132" t="s">
        <x:v>907</x:v>
      </x:c>
      <x:c r="F61" s="132" t="s">
        <x:v>917</x:v>
      </x:c>
      <x:c r="G61" s="132" t="s">
        <x:v>942</x:v>
      </x:c>
      <x:c r="H61" s="132" t="s">
        <x:v>943</x:v>
      </x:c>
      <x:c r="M61" s="132" t="s">
        <x:v>910</x:v>
      </x:c>
      <x:c r="N61" s="132" t="s">
        <x:v>432</x:v>
      </x:c>
      <x:c r="O61" s="128">
        <x:v>44402</x:v>
      </x:c>
      <x:c r="P61" s="128">
        <x:v>44413</x:v>
      </x:c>
      <x:c r="Q61" s="128">
        <x:v>44402</x:v>
      </x:c>
      <x:c r="R61" s="128">
        <x:v>44408</x:v>
      </x:c>
      <x:c r="S61" s="129">
        <x:v>31</x:v>
      </x:c>
      <x:c r="T61" s="129">
        <x:v>11</x:v>
      </x:c>
      <x:c r="U61" s="129">
        <x:v>5</x:v>
      </x:c>
      <x:c r="V61" s="130">
        <x:v>0</x:v>
      </x:c>
      <x:c r="W61" s="129">
        <x:v>0</x:v>
      </x:c>
      <x:c r="X61" s="131">
        <x:v>1</x:v>
      </x:c>
      <x:c r="Y61" s="131">
        <x:v>0</x:v>
      </x:c>
      <x:c r="Z61" s="131">
        <x:v>0</x:v>
      </x:c>
      <x:c r="AC61" s="130">
        <x:v>0</x:v>
      </x:c>
    </x:row>
    <x:row r="62" spans="1:29">
      <x:c r="A62" s="132" t="s">
        <x:v>1490</x:v>
      </x:c>
      <x:c r="B62" s="132" t="s">
        <x:v>943</x:v>
      </x:c>
      <x:c r="C62" s="132" t="s">
        <x:v>1469</x:v>
      </x:c>
      <x:c r="D62" s="132" t="s">
        <x:v>1536</x:v>
      </x:c>
      <x:c r="E62" s="132" t="s">
        <x:v>907</x:v>
      </x:c>
      <x:c r="F62" s="132" t="s">
        <x:v>917</x:v>
      </x:c>
      <x:c r="G62" s="132" t="s">
        <x:v>942</x:v>
      </x:c>
      <x:c r="H62" s="132" t="s">
        <x:v>943</x:v>
      </x:c>
      <x:c r="M62" s="132" t="s">
        <x:v>910</x:v>
      </x:c>
      <x:c r="N62" s="132" t="s">
        <x:v>432</x:v>
      </x:c>
      <x:c r="O62" s="128">
        <x:v>44402</x:v>
      </x:c>
      <x:c r="P62" s="128">
        <x:v>44413</x:v>
      </x:c>
      <x:c r="Q62" s="128">
        <x:v>44409</x:v>
      </x:c>
      <x:c r="R62" s="128">
        <x:v>44415</x:v>
      </x:c>
      <x:c r="S62" s="129">
        <x:v>32</x:v>
      </x:c>
      <x:c r="T62" s="129">
        <x:v>12</x:v>
      </x:c>
      <x:c r="U62" s="129">
        <x:v>4</x:v>
      </x:c>
      <x:c r="V62" s="130">
        <x:v>0</x:v>
      </x:c>
      <x:c r="W62" s="129">
        <x:v>0</x:v>
      </x:c>
      <x:c r="X62" s="131">
        <x:v>1</x:v>
      </x:c>
      <x:c r="Y62" s="131">
        <x:v>0</x:v>
      </x:c>
      <x:c r="Z62" s="131">
        <x:v>0</x:v>
      </x:c>
      <x:c r="AC62" s="130">
        <x:v>0</x:v>
      </x:c>
    </x:row>
    <x:row r="63" spans="1:29">
      <x:c r="A63" s="132" t="s">
        <x:v>1489</x:v>
      </x:c>
      <x:c r="B63" s="132" t="s">
        <x:v>950</x:v>
      </x:c>
      <x:c r="C63" s="132" t="s">
        <x:v>1469</x:v>
      </x:c>
      <x:c r="D63" s="132" t="s">
        <x:v>1536</x:v>
      </x:c>
      <x:c r="E63" s="132" t="s">
        <x:v>907</x:v>
      </x:c>
      <x:c r="F63" s="132" t="s">
        <x:v>917</x:v>
      </x:c>
      <x:c r="G63" s="132" t="s">
        <x:v>950</x:v>
      </x:c>
      <x:c r="M63" s="132" t="s">
        <x:v>1541</x:v>
      </x:c>
      <x:c r="N63" s="132" t="s">
        <x:v>432</x:v>
      </x:c>
      <x:c r="O63" s="128">
        <x:v>44395</x:v>
      </x:c>
      <x:c r="P63" s="128">
        <x:v>44454</x:v>
      </x:c>
      <x:c r="Q63" s="128">
        <x:v>44395</x:v>
      </x:c>
      <x:c r="R63" s="128">
        <x:v>44401</x:v>
      </x:c>
      <x:c r="S63" s="129">
        <x:v>30</x:v>
      </x:c>
      <x:c r="T63" s="129">
        <x:v>10</x:v>
      </x:c>
      <x:c r="U63" s="129">
        <x:v>5</x:v>
      </x:c>
      <x:c r="V63" s="130">
        <x:v>0</x:v>
      </x:c>
      <x:c r="W63" s="129">
        <x:v>0</x:v>
      </x:c>
      <x:c r="X63" s="131">
        <x:v>1</x:v>
      </x:c>
      <x:c r="Y63" s="131">
        <x:v>0</x:v>
      </x:c>
      <x:c r="Z63" s="131">
        <x:v>0</x:v>
      </x:c>
      <x:c r="AC63" s="130">
        <x:v>0</x:v>
      </x:c>
    </x:row>
    <x:row r="64" spans="1:29">
      <x:c r="A64" s="132" t="s">
        <x:v>1489</x:v>
      </x:c>
      <x:c r="B64" s="132" t="s">
        <x:v>950</x:v>
      </x:c>
      <x:c r="C64" s="132" t="s">
        <x:v>1469</x:v>
      </x:c>
      <x:c r="D64" s="132" t="s">
        <x:v>1536</x:v>
      </x:c>
      <x:c r="E64" s="132" t="s">
        <x:v>907</x:v>
      </x:c>
      <x:c r="F64" s="132" t="s">
        <x:v>917</x:v>
      </x:c>
      <x:c r="G64" s="132" t="s">
        <x:v>950</x:v>
      </x:c>
      <x:c r="M64" s="132" t="s">
        <x:v>1541</x:v>
      </x:c>
      <x:c r="N64" s="132" t="s">
        <x:v>432</x:v>
      </x:c>
      <x:c r="O64" s="128">
        <x:v>44395</x:v>
      </x:c>
      <x:c r="P64" s="128">
        <x:v>44454</x:v>
      </x:c>
      <x:c r="Q64" s="128">
        <x:v>44402</x:v>
      </x:c>
      <x:c r="R64" s="128">
        <x:v>44408</x:v>
      </x:c>
      <x:c r="S64" s="129">
        <x:v>31</x:v>
      </x:c>
      <x:c r="T64" s="129">
        <x:v>11</x:v>
      </x:c>
      <x:c r="U64" s="129">
        <x:v>5</x:v>
      </x:c>
      <x:c r="V64" s="130">
        <x:v>0</x:v>
      </x:c>
      <x:c r="W64" s="129">
        <x:v>0</x:v>
      </x:c>
      <x:c r="X64" s="131">
        <x:v>1</x:v>
      </x:c>
      <x:c r="Y64" s="131">
        <x:v>0</x:v>
      </x:c>
      <x:c r="Z64" s="131">
        <x:v>0</x:v>
      </x:c>
      <x:c r="AC64" s="130">
        <x:v>0</x:v>
      </x:c>
    </x:row>
    <x:row r="65" spans="1:29">
      <x:c r="A65" s="132" t="s">
        <x:v>1489</x:v>
      </x:c>
      <x:c r="B65" s="132" t="s">
        <x:v>950</x:v>
      </x:c>
      <x:c r="C65" s="132" t="s">
        <x:v>1469</x:v>
      </x:c>
      <x:c r="D65" s="132" t="s">
        <x:v>1536</x:v>
      </x:c>
      <x:c r="E65" s="132" t="s">
        <x:v>907</x:v>
      </x:c>
      <x:c r="F65" s="132" t="s">
        <x:v>917</x:v>
      </x:c>
      <x:c r="G65" s="132" t="s">
        <x:v>950</x:v>
      </x:c>
      <x:c r="M65" s="132" t="s">
        <x:v>1541</x:v>
      </x:c>
      <x:c r="N65" s="132" t="s">
        <x:v>432</x:v>
      </x:c>
      <x:c r="O65" s="128">
        <x:v>44395</x:v>
      </x:c>
      <x:c r="P65" s="128">
        <x:v>44454</x:v>
      </x:c>
      <x:c r="Q65" s="128">
        <x:v>44409</x:v>
      </x:c>
      <x:c r="R65" s="128">
        <x:v>44415</x:v>
      </x:c>
      <x:c r="S65" s="129">
        <x:v>32</x:v>
      </x:c>
      <x:c r="T65" s="129">
        <x:v>12</x:v>
      </x:c>
      <x:c r="U65" s="129">
        <x:v>5</x:v>
      </x:c>
      <x:c r="V65" s="130">
        <x:v>0</x:v>
      </x:c>
      <x:c r="W65" s="129">
        <x:v>0</x:v>
      </x:c>
      <x:c r="X65" s="131">
        <x:v>1</x:v>
      </x:c>
      <x:c r="Y65" s="131">
        <x:v>0</x:v>
      </x:c>
      <x:c r="Z65" s="131">
        <x:v>0</x:v>
      </x:c>
      <x:c r="AC65" s="130">
        <x:v>0</x:v>
      </x:c>
    </x:row>
    <x:row r="66" spans="1:29">
      <x:c r="A66" s="132" t="s">
        <x:v>1489</x:v>
      </x:c>
      <x:c r="B66" s="132" t="s">
        <x:v>950</x:v>
      </x:c>
      <x:c r="C66" s="132" t="s">
        <x:v>1469</x:v>
      </x:c>
      <x:c r="D66" s="132" t="s">
        <x:v>1536</x:v>
      </x:c>
      <x:c r="E66" s="132" t="s">
        <x:v>907</x:v>
      </x:c>
      <x:c r="F66" s="132" t="s">
        <x:v>917</x:v>
      </x:c>
      <x:c r="G66" s="132" t="s">
        <x:v>950</x:v>
      </x:c>
      <x:c r="M66" s="132" t="s">
        <x:v>1541</x:v>
      </x:c>
      <x:c r="N66" s="132" t="s">
        <x:v>432</x:v>
      </x:c>
      <x:c r="O66" s="128">
        <x:v>44395</x:v>
      </x:c>
      <x:c r="P66" s="128">
        <x:v>44454</x:v>
      </x:c>
      <x:c r="Q66" s="128">
        <x:v>44416</x:v>
      </x:c>
      <x:c r="R66" s="128">
        <x:v>44422</x:v>
      </x:c>
      <x:c r="S66" s="129">
        <x:v>33</x:v>
      </x:c>
      <x:c r="T66" s="129">
        <x:v>13</x:v>
      </x:c>
      <x:c r="U66" s="129">
        <x:v>5</x:v>
      </x:c>
      <x:c r="V66" s="130">
        <x:v>0</x:v>
      </x:c>
      <x:c r="W66" s="129">
        <x:v>0</x:v>
      </x:c>
      <x:c r="X66" s="131">
        <x:v>1</x:v>
      </x:c>
      <x:c r="Y66" s="131">
        <x:v>0</x:v>
      </x:c>
      <x:c r="Z66" s="131">
        <x:v>0</x:v>
      </x:c>
      <x:c r="AC66" s="130">
        <x:v>0</x:v>
      </x:c>
    </x:row>
    <x:row r="67" spans="1:29">
      <x:c r="A67" s="132" t="s">
        <x:v>1489</x:v>
      </x:c>
      <x:c r="B67" s="132" t="s">
        <x:v>950</x:v>
      </x:c>
      <x:c r="C67" s="132" t="s">
        <x:v>1469</x:v>
      </x:c>
      <x:c r="D67" s="132" t="s">
        <x:v>1536</x:v>
      </x:c>
      <x:c r="E67" s="132" t="s">
        <x:v>907</x:v>
      </x:c>
      <x:c r="F67" s="132" t="s">
        <x:v>917</x:v>
      </x:c>
      <x:c r="G67" s="132" t="s">
        <x:v>950</x:v>
      </x:c>
      <x:c r="M67" s="132" t="s">
        <x:v>1541</x:v>
      </x:c>
      <x:c r="N67" s="132" t="s">
        <x:v>432</x:v>
      </x:c>
      <x:c r="O67" s="128">
        <x:v>44395</x:v>
      </x:c>
      <x:c r="P67" s="128">
        <x:v>44454</x:v>
      </x:c>
      <x:c r="Q67" s="128">
        <x:v>44423</x:v>
      </x:c>
      <x:c r="R67" s="128">
        <x:v>44429</x:v>
      </x:c>
      <x:c r="S67" s="129">
        <x:v>34</x:v>
      </x:c>
      <x:c r="T67" s="129">
        <x:v>14</x:v>
      </x:c>
      <x:c r="U67" s="129">
        <x:v>5</x:v>
      </x:c>
      <x:c r="V67" s="130">
        <x:v>0</x:v>
      </x:c>
      <x:c r="W67" s="129">
        <x:v>0</x:v>
      </x:c>
      <x:c r="X67" s="131">
        <x:v>1</x:v>
      </x:c>
      <x:c r="Y67" s="131">
        <x:v>0</x:v>
      </x:c>
      <x:c r="Z67" s="131">
        <x:v>0</x:v>
      </x:c>
      <x:c r="AC67" s="130">
        <x:v>0</x:v>
      </x:c>
    </x:row>
    <x:row r="68" spans="1:29">
      <x:c r="A68" s="132" t="s">
        <x:v>1489</x:v>
      </x:c>
      <x:c r="B68" s="132" t="s">
        <x:v>950</x:v>
      </x:c>
      <x:c r="C68" s="132" t="s">
        <x:v>1469</x:v>
      </x:c>
      <x:c r="D68" s="132" t="s">
        <x:v>1536</x:v>
      </x:c>
      <x:c r="E68" s="132" t="s">
        <x:v>907</x:v>
      </x:c>
      <x:c r="F68" s="132" t="s">
        <x:v>917</x:v>
      </x:c>
      <x:c r="G68" s="132" t="s">
        <x:v>950</x:v>
      </x:c>
      <x:c r="M68" s="132" t="s">
        <x:v>1541</x:v>
      </x:c>
      <x:c r="N68" s="132" t="s">
        <x:v>432</x:v>
      </x:c>
      <x:c r="O68" s="128">
        <x:v>44395</x:v>
      </x:c>
      <x:c r="P68" s="128">
        <x:v>44454</x:v>
      </x:c>
      <x:c r="Q68" s="128">
        <x:v>44430</x:v>
      </x:c>
      <x:c r="R68" s="128">
        <x:v>44436</x:v>
      </x:c>
      <x:c r="S68" s="129">
        <x:v>35</x:v>
      </x:c>
      <x:c r="T68" s="129">
        <x:v>15</x:v>
      </x:c>
      <x:c r="U68" s="129">
        <x:v>5</x:v>
      </x:c>
      <x:c r="V68" s="130">
        <x:v>0</x:v>
      </x:c>
      <x:c r="W68" s="129">
        <x:v>0</x:v>
      </x:c>
      <x:c r="X68" s="131">
        <x:v>1</x:v>
      </x:c>
      <x:c r="Y68" s="131">
        <x:v>0</x:v>
      </x:c>
      <x:c r="Z68" s="131">
        <x:v>0</x:v>
      </x:c>
      <x:c r="AC68" s="130">
        <x:v>0</x:v>
      </x:c>
    </x:row>
    <x:row r="69" spans="1:29">
      <x:c r="A69" s="132" t="s">
        <x:v>1489</x:v>
      </x:c>
      <x:c r="B69" s="132" t="s">
        <x:v>950</x:v>
      </x:c>
      <x:c r="C69" s="132" t="s">
        <x:v>1469</x:v>
      </x:c>
      <x:c r="D69" s="132" t="s">
        <x:v>1536</x:v>
      </x:c>
      <x:c r="E69" s="132" t="s">
        <x:v>907</x:v>
      </x:c>
      <x:c r="F69" s="132" t="s">
        <x:v>917</x:v>
      </x:c>
      <x:c r="G69" s="132" t="s">
        <x:v>950</x:v>
      </x:c>
      <x:c r="M69" s="132" t="s">
        <x:v>1541</x:v>
      </x:c>
      <x:c r="N69" s="132" t="s">
        <x:v>432</x:v>
      </x:c>
      <x:c r="O69" s="128">
        <x:v>44395</x:v>
      </x:c>
      <x:c r="P69" s="128">
        <x:v>44454</x:v>
      </x:c>
      <x:c r="Q69" s="128">
        <x:v>44437</x:v>
      </x:c>
      <x:c r="R69" s="128">
        <x:v>44443</x:v>
      </x:c>
      <x:c r="S69" s="129">
        <x:v>36</x:v>
      </x:c>
      <x:c r="T69" s="129">
        <x:v>16</x:v>
      </x:c>
      <x:c r="U69" s="129">
        <x:v>5</x:v>
      </x:c>
      <x:c r="V69" s="130">
        <x:v>0</x:v>
      </x:c>
      <x:c r="W69" s="129">
        <x:v>0</x:v>
      </x:c>
      <x:c r="X69" s="131">
        <x:v>1</x:v>
      </x:c>
      <x:c r="Y69" s="131">
        <x:v>0</x:v>
      </x:c>
      <x:c r="Z69" s="131">
        <x:v>0</x:v>
      </x:c>
      <x:c r="AC69" s="130">
        <x:v>0</x:v>
      </x:c>
    </x:row>
    <x:row r="70" spans="1:29">
      <x:c r="A70" s="132" t="s">
        <x:v>1489</x:v>
      </x:c>
      <x:c r="B70" s="132" t="s">
        <x:v>950</x:v>
      </x:c>
      <x:c r="C70" s="132" t="s">
        <x:v>1469</x:v>
      </x:c>
      <x:c r="D70" s="132" t="s">
        <x:v>1536</x:v>
      </x:c>
      <x:c r="E70" s="132" t="s">
        <x:v>907</x:v>
      </x:c>
      <x:c r="F70" s="132" t="s">
        <x:v>917</x:v>
      </x:c>
      <x:c r="G70" s="132" t="s">
        <x:v>950</x:v>
      </x:c>
      <x:c r="M70" s="132" t="s">
        <x:v>1541</x:v>
      </x:c>
      <x:c r="N70" s="132" t="s">
        <x:v>432</x:v>
      </x:c>
      <x:c r="O70" s="128">
        <x:v>44395</x:v>
      </x:c>
      <x:c r="P70" s="128">
        <x:v>44454</x:v>
      </x:c>
      <x:c r="Q70" s="128">
        <x:v>44444</x:v>
      </x:c>
      <x:c r="R70" s="128">
        <x:v>44450</x:v>
      </x:c>
      <x:c r="S70" s="129">
        <x:v>37</x:v>
      </x:c>
      <x:c r="T70" s="129">
        <x:v>17</x:v>
      </x:c>
      <x:c r="U70" s="129">
        <x:v>5</x:v>
      </x:c>
      <x:c r="V70" s="130">
        <x:v>0</x:v>
      </x:c>
      <x:c r="W70" s="129">
        <x:v>0</x:v>
      </x:c>
      <x:c r="X70" s="131">
        <x:v>1</x:v>
      </x:c>
      <x:c r="Y70" s="131">
        <x:v>0</x:v>
      </x:c>
      <x:c r="Z70" s="131">
        <x:v>0</x:v>
      </x:c>
      <x:c r="AC70" s="130">
        <x:v>0</x:v>
      </x:c>
    </x:row>
    <x:row r="71" spans="1:29">
      <x:c r="A71" s="132" t="s">
        <x:v>1489</x:v>
      </x:c>
      <x:c r="B71" s="132" t="s">
        <x:v>950</x:v>
      </x:c>
      <x:c r="C71" s="132" t="s">
        <x:v>1469</x:v>
      </x:c>
      <x:c r="D71" s="132" t="s">
        <x:v>1536</x:v>
      </x:c>
      <x:c r="E71" s="132" t="s">
        <x:v>907</x:v>
      </x:c>
      <x:c r="F71" s="132" t="s">
        <x:v>917</x:v>
      </x:c>
      <x:c r="G71" s="132" t="s">
        <x:v>950</x:v>
      </x:c>
      <x:c r="M71" s="132" t="s">
        <x:v>1541</x:v>
      </x:c>
      <x:c r="N71" s="132" t="s">
        <x:v>432</x:v>
      </x:c>
      <x:c r="O71" s="128">
        <x:v>44395</x:v>
      </x:c>
      <x:c r="P71" s="128">
        <x:v>44454</x:v>
      </x:c>
      <x:c r="Q71" s="128">
        <x:v>44451</x:v>
      </x:c>
      <x:c r="R71" s="128">
        <x:v>44457</x:v>
      </x:c>
      <x:c r="S71" s="129">
        <x:v>38</x:v>
      </x:c>
      <x:c r="T71" s="129">
        <x:v>18</x:v>
      </x:c>
      <x:c r="U71" s="129">
        <x:v>3</x:v>
      </x:c>
      <x:c r="V71" s="130">
        <x:v>0</x:v>
      </x:c>
      <x:c r="W71" s="129">
        <x:v>0</x:v>
      </x:c>
      <x:c r="X71" s="131">
        <x:v>1</x:v>
      </x:c>
      <x:c r="Y71" s="131">
        <x:v>0</x:v>
      </x:c>
      <x:c r="Z71" s="131">
        <x:v>0</x:v>
      </x:c>
      <x:c r="AC71" s="130">
        <x:v>0</x:v>
      </x:c>
    </x:row>
    <x:row r="72" spans="1:29">
      <x:c r="A72" s="132" t="s">
        <x:v>1489</x:v>
      </x:c>
      <x:c r="B72" s="132" t="s">
        <x:v>949</x:v>
      </x:c>
      <x:c r="C72" s="132" t="s">
        <x:v>1469</x:v>
      </x:c>
      <x:c r="D72" s="132" t="s">
        <x:v>1536</x:v>
      </x:c>
      <x:c r="E72" s="132" t="s">
        <x:v>907</x:v>
      </x:c>
      <x:c r="F72" s="132" t="s">
        <x:v>917</x:v>
      </x:c>
      <x:c r="G72" s="132" t="s">
        <x:v>949</x:v>
      </x:c>
      <x:c r="M72" s="132" t="s">
        <x:v>1546</x:v>
      </x:c>
      <x:c r="N72" s="132" t="s">
        <x:v>432</x:v>
      </x:c>
      <x:c r="O72" s="128">
        <x:v>44395</x:v>
      </x:c>
      <x:c r="P72" s="128">
        <x:v>44454</x:v>
      </x:c>
      <x:c r="Q72" s="128">
        <x:v>44395</x:v>
      </x:c>
      <x:c r="R72" s="128">
        <x:v>44401</x:v>
      </x:c>
      <x:c r="S72" s="129">
        <x:v>30</x:v>
      </x:c>
      <x:c r="T72" s="129">
        <x:v>10</x:v>
      </x:c>
      <x:c r="U72" s="129">
        <x:v>5</x:v>
      </x:c>
      <x:c r="V72" s="130">
        <x:v>0</x:v>
      </x:c>
      <x:c r="W72" s="129">
        <x:v>0</x:v>
      </x:c>
      <x:c r="X72" s="131">
        <x:v>1</x:v>
      </x:c>
      <x:c r="Y72" s="131">
        <x:v>0</x:v>
      </x:c>
      <x:c r="Z72" s="131">
        <x:v>0</x:v>
      </x:c>
      <x:c r="AC72" s="130">
        <x:v>0</x:v>
      </x:c>
    </x:row>
    <x:row r="73" spans="1:29">
      <x:c r="A73" s="132" t="s">
        <x:v>1489</x:v>
      </x:c>
      <x:c r="B73" s="132" t="s">
        <x:v>949</x:v>
      </x:c>
      <x:c r="C73" s="132" t="s">
        <x:v>1469</x:v>
      </x:c>
      <x:c r="D73" s="132" t="s">
        <x:v>1536</x:v>
      </x:c>
      <x:c r="E73" s="132" t="s">
        <x:v>907</x:v>
      </x:c>
      <x:c r="F73" s="132" t="s">
        <x:v>917</x:v>
      </x:c>
      <x:c r="G73" s="132" t="s">
        <x:v>949</x:v>
      </x:c>
      <x:c r="M73" s="132" t="s">
        <x:v>1546</x:v>
      </x:c>
      <x:c r="N73" s="132" t="s">
        <x:v>432</x:v>
      </x:c>
      <x:c r="O73" s="128">
        <x:v>44395</x:v>
      </x:c>
      <x:c r="P73" s="128">
        <x:v>44454</x:v>
      </x:c>
      <x:c r="Q73" s="128">
        <x:v>44402</x:v>
      </x:c>
      <x:c r="R73" s="128">
        <x:v>44408</x:v>
      </x:c>
      <x:c r="S73" s="129">
        <x:v>31</x:v>
      </x:c>
      <x:c r="T73" s="129">
        <x:v>11</x:v>
      </x:c>
      <x:c r="U73" s="129">
        <x:v>5</x:v>
      </x:c>
      <x:c r="V73" s="130">
        <x:v>0</x:v>
      </x:c>
      <x:c r="W73" s="129">
        <x:v>0</x:v>
      </x:c>
      <x:c r="X73" s="131">
        <x:v>1</x:v>
      </x:c>
      <x:c r="Y73" s="131">
        <x:v>0</x:v>
      </x:c>
      <x:c r="Z73" s="131">
        <x:v>0</x:v>
      </x:c>
      <x:c r="AC73" s="130">
        <x:v>0</x:v>
      </x:c>
    </x:row>
    <x:row r="74" spans="1:29">
      <x:c r="A74" s="132" t="s">
        <x:v>1489</x:v>
      </x:c>
      <x:c r="B74" s="132" t="s">
        <x:v>949</x:v>
      </x:c>
      <x:c r="C74" s="132" t="s">
        <x:v>1469</x:v>
      </x:c>
      <x:c r="D74" s="132" t="s">
        <x:v>1536</x:v>
      </x:c>
      <x:c r="E74" s="132" t="s">
        <x:v>907</x:v>
      </x:c>
      <x:c r="F74" s="132" t="s">
        <x:v>917</x:v>
      </x:c>
      <x:c r="G74" s="132" t="s">
        <x:v>949</x:v>
      </x:c>
      <x:c r="M74" s="132" t="s">
        <x:v>1546</x:v>
      </x:c>
      <x:c r="N74" s="132" t="s">
        <x:v>432</x:v>
      </x:c>
      <x:c r="O74" s="128">
        <x:v>44395</x:v>
      </x:c>
      <x:c r="P74" s="128">
        <x:v>44454</x:v>
      </x:c>
      <x:c r="Q74" s="128">
        <x:v>44409</x:v>
      </x:c>
      <x:c r="R74" s="128">
        <x:v>44415</x:v>
      </x:c>
      <x:c r="S74" s="129">
        <x:v>32</x:v>
      </x:c>
      <x:c r="T74" s="129">
        <x:v>12</x:v>
      </x:c>
      <x:c r="U74" s="129">
        <x:v>5</x:v>
      </x:c>
      <x:c r="V74" s="130">
        <x:v>0</x:v>
      </x:c>
      <x:c r="W74" s="129">
        <x:v>0</x:v>
      </x:c>
      <x:c r="X74" s="131">
        <x:v>1</x:v>
      </x:c>
      <x:c r="Y74" s="131">
        <x:v>0</x:v>
      </x:c>
      <x:c r="Z74" s="131">
        <x:v>0</x:v>
      </x:c>
      <x:c r="AC74" s="130">
        <x:v>0</x:v>
      </x:c>
    </x:row>
    <x:row r="75" spans="1:29">
      <x:c r="A75" s="132" t="s">
        <x:v>1489</x:v>
      </x:c>
      <x:c r="B75" s="132" t="s">
        <x:v>949</x:v>
      </x:c>
      <x:c r="C75" s="132" t="s">
        <x:v>1469</x:v>
      </x:c>
      <x:c r="D75" s="132" t="s">
        <x:v>1536</x:v>
      </x:c>
      <x:c r="E75" s="132" t="s">
        <x:v>907</x:v>
      </x:c>
      <x:c r="F75" s="132" t="s">
        <x:v>917</x:v>
      </x:c>
      <x:c r="G75" s="132" t="s">
        <x:v>949</x:v>
      </x:c>
      <x:c r="M75" s="132" t="s">
        <x:v>1546</x:v>
      </x:c>
      <x:c r="N75" s="132" t="s">
        <x:v>432</x:v>
      </x:c>
      <x:c r="O75" s="128">
        <x:v>44395</x:v>
      </x:c>
      <x:c r="P75" s="128">
        <x:v>44454</x:v>
      </x:c>
      <x:c r="Q75" s="128">
        <x:v>44416</x:v>
      </x:c>
      <x:c r="R75" s="128">
        <x:v>44422</x:v>
      </x:c>
      <x:c r="S75" s="129">
        <x:v>33</x:v>
      </x:c>
      <x:c r="T75" s="129">
        <x:v>13</x:v>
      </x:c>
      <x:c r="U75" s="129">
        <x:v>5</x:v>
      </x:c>
      <x:c r="V75" s="130">
        <x:v>0</x:v>
      </x:c>
      <x:c r="W75" s="129">
        <x:v>0</x:v>
      </x:c>
      <x:c r="X75" s="131">
        <x:v>1</x:v>
      </x:c>
      <x:c r="Y75" s="131">
        <x:v>0</x:v>
      </x:c>
      <x:c r="Z75" s="131">
        <x:v>0</x:v>
      </x:c>
      <x:c r="AC75" s="130">
        <x:v>0</x:v>
      </x:c>
    </x:row>
    <x:row r="76" spans="1:29">
      <x:c r="A76" s="132" t="s">
        <x:v>1489</x:v>
      </x:c>
      <x:c r="B76" s="132" t="s">
        <x:v>949</x:v>
      </x:c>
      <x:c r="C76" s="132" t="s">
        <x:v>1469</x:v>
      </x:c>
      <x:c r="D76" s="132" t="s">
        <x:v>1536</x:v>
      </x:c>
      <x:c r="E76" s="132" t="s">
        <x:v>907</x:v>
      </x:c>
      <x:c r="F76" s="132" t="s">
        <x:v>917</x:v>
      </x:c>
      <x:c r="G76" s="132" t="s">
        <x:v>949</x:v>
      </x:c>
      <x:c r="M76" s="132" t="s">
        <x:v>1546</x:v>
      </x:c>
      <x:c r="N76" s="132" t="s">
        <x:v>432</x:v>
      </x:c>
      <x:c r="O76" s="128">
        <x:v>44395</x:v>
      </x:c>
      <x:c r="P76" s="128">
        <x:v>44454</x:v>
      </x:c>
      <x:c r="Q76" s="128">
        <x:v>44423</x:v>
      </x:c>
      <x:c r="R76" s="128">
        <x:v>44429</x:v>
      </x:c>
      <x:c r="S76" s="129">
        <x:v>34</x:v>
      </x:c>
      <x:c r="T76" s="129">
        <x:v>14</x:v>
      </x:c>
      <x:c r="U76" s="129">
        <x:v>5</x:v>
      </x:c>
      <x:c r="V76" s="130">
        <x:v>0</x:v>
      </x:c>
      <x:c r="W76" s="129">
        <x:v>0</x:v>
      </x:c>
      <x:c r="X76" s="131">
        <x:v>1</x:v>
      </x:c>
      <x:c r="Y76" s="131">
        <x:v>0</x:v>
      </x:c>
      <x:c r="Z76" s="131">
        <x:v>0</x:v>
      </x:c>
      <x:c r="AC76" s="130">
        <x:v>0</x:v>
      </x:c>
    </x:row>
    <x:row r="77" spans="1:29">
      <x:c r="A77" s="132" t="s">
        <x:v>1489</x:v>
      </x:c>
      <x:c r="B77" s="132" t="s">
        <x:v>949</x:v>
      </x:c>
      <x:c r="C77" s="132" t="s">
        <x:v>1469</x:v>
      </x:c>
      <x:c r="D77" s="132" t="s">
        <x:v>1536</x:v>
      </x:c>
      <x:c r="E77" s="132" t="s">
        <x:v>907</x:v>
      </x:c>
      <x:c r="F77" s="132" t="s">
        <x:v>917</x:v>
      </x:c>
      <x:c r="G77" s="132" t="s">
        <x:v>949</x:v>
      </x:c>
      <x:c r="M77" s="132" t="s">
        <x:v>1546</x:v>
      </x:c>
      <x:c r="N77" s="132" t="s">
        <x:v>432</x:v>
      </x:c>
      <x:c r="O77" s="128">
        <x:v>44395</x:v>
      </x:c>
      <x:c r="P77" s="128">
        <x:v>44454</x:v>
      </x:c>
      <x:c r="Q77" s="128">
        <x:v>44430</x:v>
      </x:c>
      <x:c r="R77" s="128">
        <x:v>44436</x:v>
      </x:c>
      <x:c r="S77" s="129">
        <x:v>35</x:v>
      </x:c>
      <x:c r="T77" s="129">
        <x:v>15</x:v>
      </x:c>
      <x:c r="U77" s="129">
        <x:v>5</x:v>
      </x:c>
      <x:c r="V77" s="130">
        <x:v>0</x:v>
      </x:c>
      <x:c r="W77" s="129">
        <x:v>0</x:v>
      </x:c>
      <x:c r="X77" s="131">
        <x:v>1</x:v>
      </x:c>
      <x:c r="Y77" s="131">
        <x:v>0</x:v>
      </x:c>
      <x:c r="Z77" s="131">
        <x:v>0</x:v>
      </x:c>
      <x:c r="AC77" s="130">
        <x:v>0</x:v>
      </x:c>
    </x:row>
    <x:row r="78" spans="1:29">
      <x:c r="A78" s="132" t="s">
        <x:v>1489</x:v>
      </x:c>
      <x:c r="B78" s="132" t="s">
        <x:v>949</x:v>
      </x:c>
      <x:c r="C78" s="132" t="s">
        <x:v>1469</x:v>
      </x:c>
      <x:c r="D78" s="132" t="s">
        <x:v>1536</x:v>
      </x:c>
      <x:c r="E78" s="132" t="s">
        <x:v>907</x:v>
      </x:c>
      <x:c r="F78" s="132" t="s">
        <x:v>917</x:v>
      </x:c>
      <x:c r="G78" s="132" t="s">
        <x:v>949</x:v>
      </x:c>
      <x:c r="M78" s="132" t="s">
        <x:v>1546</x:v>
      </x:c>
      <x:c r="N78" s="132" t="s">
        <x:v>432</x:v>
      </x:c>
      <x:c r="O78" s="128">
        <x:v>44395</x:v>
      </x:c>
      <x:c r="P78" s="128">
        <x:v>44454</x:v>
      </x:c>
      <x:c r="Q78" s="128">
        <x:v>44437</x:v>
      </x:c>
      <x:c r="R78" s="128">
        <x:v>44443</x:v>
      </x:c>
      <x:c r="S78" s="129">
        <x:v>36</x:v>
      </x:c>
      <x:c r="T78" s="129">
        <x:v>16</x:v>
      </x:c>
      <x:c r="U78" s="129">
        <x:v>5</x:v>
      </x:c>
      <x:c r="V78" s="130">
        <x:v>0</x:v>
      </x:c>
      <x:c r="W78" s="129">
        <x:v>0</x:v>
      </x:c>
      <x:c r="X78" s="131">
        <x:v>1</x:v>
      </x:c>
      <x:c r="Y78" s="131">
        <x:v>0</x:v>
      </x:c>
      <x:c r="Z78" s="131">
        <x:v>0</x:v>
      </x:c>
      <x:c r="AC78" s="130">
        <x:v>0</x:v>
      </x:c>
    </x:row>
    <x:row r="79" spans="1:29">
      <x:c r="A79" s="132" t="s">
        <x:v>1489</x:v>
      </x:c>
      <x:c r="B79" s="132" t="s">
        <x:v>949</x:v>
      </x:c>
      <x:c r="C79" s="132" t="s">
        <x:v>1469</x:v>
      </x:c>
      <x:c r="D79" s="132" t="s">
        <x:v>1536</x:v>
      </x:c>
      <x:c r="E79" s="132" t="s">
        <x:v>907</x:v>
      </x:c>
      <x:c r="F79" s="132" t="s">
        <x:v>917</x:v>
      </x:c>
      <x:c r="G79" s="132" t="s">
        <x:v>949</x:v>
      </x:c>
      <x:c r="M79" s="132" t="s">
        <x:v>1546</x:v>
      </x:c>
      <x:c r="N79" s="132" t="s">
        <x:v>432</x:v>
      </x:c>
      <x:c r="O79" s="128">
        <x:v>44395</x:v>
      </x:c>
      <x:c r="P79" s="128">
        <x:v>44454</x:v>
      </x:c>
      <x:c r="Q79" s="128">
        <x:v>44444</x:v>
      </x:c>
      <x:c r="R79" s="128">
        <x:v>44450</x:v>
      </x:c>
      <x:c r="S79" s="129">
        <x:v>37</x:v>
      </x:c>
      <x:c r="T79" s="129">
        <x:v>17</x:v>
      </x:c>
      <x:c r="U79" s="129">
        <x:v>5</x:v>
      </x:c>
      <x:c r="V79" s="130">
        <x:v>0</x:v>
      </x:c>
      <x:c r="W79" s="129">
        <x:v>0</x:v>
      </x:c>
      <x:c r="X79" s="131">
        <x:v>1</x:v>
      </x:c>
      <x:c r="Y79" s="131">
        <x:v>0</x:v>
      </x:c>
      <x:c r="Z79" s="131">
        <x:v>0</x:v>
      </x:c>
      <x:c r="AC79" s="130">
        <x:v>0</x:v>
      </x:c>
    </x:row>
    <x:row r="80" spans="1:29">
      <x:c r="A80" s="132" t="s">
        <x:v>1489</x:v>
      </x:c>
      <x:c r="B80" s="132" t="s">
        <x:v>949</x:v>
      </x:c>
      <x:c r="C80" s="132" t="s">
        <x:v>1469</x:v>
      </x:c>
      <x:c r="D80" s="132" t="s">
        <x:v>1536</x:v>
      </x:c>
      <x:c r="E80" s="132" t="s">
        <x:v>907</x:v>
      </x:c>
      <x:c r="F80" s="132" t="s">
        <x:v>917</x:v>
      </x:c>
      <x:c r="G80" s="132" t="s">
        <x:v>949</x:v>
      </x:c>
      <x:c r="M80" s="132" t="s">
        <x:v>1546</x:v>
      </x:c>
      <x:c r="N80" s="132" t="s">
        <x:v>432</x:v>
      </x:c>
      <x:c r="O80" s="128">
        <x:v>44395</x:v>
      </x:c>
      <x:c r="P80" s="128">
        <x:v>44454</x:v>
      </x:c>
      <x:c r="Q80" s="128">
        <x:v>44451</x:v>
      </x:c>
      <x:c r="R80" s="128">
        <x:v>44457</x:v>
      </x:c>
      <x:c r="S80" s="129">
        <x:v>38</x:v>
      </x:c>
      <x:c r="T80" s="129">
        <x:v>18</x:v>
      </x:c>
      <x:c r="U80" s="129">
        <x:v>3</x:v>
      </x:c>
      <x:c r="V80" s="130">
        <x:v>0</x:v>
      </x:c>
      <x:c r="W80" s="129">
        <x:v>0</x:v>
      </x:c>
      <x:c r="X80" s="131">
        <x:v>1</x:v>
      </x:c>
      <x:c r="Y80" s="131">
        <x:v>0</x:v>
      </x:c>
      <x:c r="Z80" s="131">
        <x:v>0</x:v>
      </x:c>
      <x:c r="AC80" s="130">
        <x:v>0</x:v>
      </x:c>
    </x:row>
    <x:row r="81" spans="1:29">
      <x:c r="A81" s="132" t="s">
        <x:v>1489</x:v>
      </x:c>
      <x:c r="B81" s="132" t="s">
        <x:v>951</x:v>
      </x:c>
      <x:c r="C81" s="132" t="s">
        <x:v>1469</x:v>
      </x:c>
      <x:c r="D81" s="132" t="s">
        <x:v>1536</x:v>
      </x:c>
      <x:c r="E81" s="132" t="s">
        <x:v>907</x:v>
      </x:c>
      <x:c r="F81" s="132" t="s">
        <x:v>917</x:v>
      </x:c>
      <x:c r="G81" s="132" t="s">
        <x:v>951</x:v>
      </x:c>
      <x:c r="M81" s="132" t="s">
        <x:v>1537</x:v>
      </x:c>
      <x:c r="N81" s="132" t="s">
        <x:v>432</x:v>
      </x:c>
      <x:c r="O81" s="128">
        <x:v>44409</x:v>
      </x:c>
      <x:c r="P81" s="128">
        <x:v>44454</x:v>
      </x:c>
      <x:c r="Q81" s="128">
        <x:v>44409</x:v>
      </x:c>
      <x:c r="R81" s="128">
        <x:v>44415</x:v>
      </x:c>
      <x:c r="S81" s="129">
        <x:v>32</x:v>
      </x:c>
      <x:c r="T81" s="129">
        <x:v>12</x:v>
      </x:c>
      <x:c r="U81" s="129">
        <x:v>5</x:v>
      </x:c>
      <x:c r="V81" s="130">
        <x:v>0</x:v>
      </x:c>
      <x:c r="W81" s="129">
        <x:v>0</x:v>
      </x:c>
      <x:c r="X81" s="131">
        <x:v>1</x:v>
      </x:c>
      <x:c r="Y81" s="131">
        <x:v>0</x:v>
      </x:c>
      <x:c r="Z81" s="131">
        <x:v>0</x:v>
      </x:c>
      <x:c r="AC81" s="130">
        <x:v>0</x:v>
      </x:c>
    </x:row>
    <x:row r="82" spans="1:29">
      <x:c r="A82" s="132" t="s">
        <x:v>1489</x:v>
      </x:c>
      <x:c r="B82" s="132" t="s">
        <x:v>951</x:v>
      </x:c>
      <x:c r="C82" s="132" t="s">
        <x:v>1469</x:v>
      </x:c>
      <x:c r="D82" s="132" t="s">
        <x:v>1536</x:v>
      </x:c>
      <x:c r="E82" s="132" t="s">
        <x:v>907</x:v>
      </x:c>
      <x:c r="F82" s="132" t="s">
        <x:v>917</x:v>
      </x:c>
      <x:c r="G82" s="132" t="s">
        <x:v>951</x:v>
      </x:c>
      <x:c r="M82" s="132" t="s">
        <x:v>1537</x:v>
      </x:c>
      <x:c r="N82" s="132" t="s">
        <x:v>432</x:v>
      </x:c>
      <x:c r="O82" s="128">
        <x:v>44409</x:v>
      </x:c>
      <x:c r="P82" s="128">
        <x:v>44454</x:v>
      </x:c>
      <x:c r="Q82" s="128">
        <x:v>44416</x:v>
      </x:c>
      <x:c r="R82" s="128">
        <x:v>44422</x:v>
      </x:c>
      <x:c r="S82" s="129">
        <x:v>33</x:v>
      </x:c>
      <x:c r="T82" s="129">
        <x:v>13</x:v>
      </x:c>
      <x:c r="U82" s="129">
        <x:v>5</x:v>
      </x:c>
      <x:c r="V82" s="130">
        <x:v>0</x:v>
      </x:c>
      <x:c r="W82" s="129">
        <x:v>0</x:v>
      </x:c>
      <x:c r="X82" s="131">
        <x:v>1</x:v>
      </x:c>
      <x:c r="Y82" s="131">
        <x:v>0</x:v>
      </x:c>
      <x:c r="Z82" s="131">
        <x:v>0</x:v>
      </x:c>
      <x:c r="AC82" s="130">
        <x:v>0</x:v>
      </x:c>
    </x:row>
    <x:row r="83" spans="1:29">
      <x:c r="A83" s="132" t="s">
        <x:v>1489</x:v>
      </x:c>
      <x:c r="B83" s="132" t="s">
        <x:v>951</x:v>
      </x:c>
      <x:c r="C83" s="132" t="s">
        <x:v>1469</x:v>
      </x:c>
      <x:c r="D83" s="132" t="s">
        <x:v>1536</x:v>
      </x:c>
      <x:c r="E83" s="132" t="s">
        <x:v>907</x:v>
      </x:c>
      <x:c r="F83" s="132" t="s">
        <x:v>917</x:v>
      </x:c>
      <x:c r="G83" s="132" t="s">
        <x:v>951</x:v>
      </x:c>
      <x:c r="M83" s="132" t="s">
        <x:v>1537</x:v>
      </x:c>
      <x:c r="N83" s="132" t="s">
        <x:v>432</x:v>
      </x:c>
      <x:c r="O83" s="128">
        <x:v>44409</x:v>
      </x:c>
      <x:c r="P83" s="128">
        <x:v>44454</x:v>
      </x:c>
      <x:c r="Q83" s="128">
        <x:v>44423</x:v>
      </x:c>
      <x:c r="R83" s="128">
        <x:v>44429</x:v>
      </x:c>
      <x:c r="S83" s="129">
        <x:v>34</x:v>
      </x:c>
      <x:c r="T83" s="129">
        <x:v>14</x:v>
      </x:c>
      <x:c r="U83" s="129">
        <x:v>5</x:v>
      </x:c>
      <x:c r="V83" s="130">
        <x:v>0</x:v>
      </x:c>
      <x:c r="W83" s="129">
        <x:v>0</x:v>
      </x:c>
      <x:c r="X83" s="131">
        <x:v>1</x:v>
      </x:c>
      <x:c r="Y83" s="131">
        <x:v>0</x:v>
      </x:c>
      <x:c r="Z83" s="131">
        <x:v>0</x:v>
      </x:c>
      <x:c r="AC83" s="130">
        <x:v>0</x:v>
      </x:c>
    </x:row>
    <x:row r="84" spans="1:29">
      <x:c r="A84" s="132" t="s">
        <x:v>1489</x:v>
      </x:c>
      <x:c r="B84" s="132" t="s">
        <x:v>951</x:v>
      </x:c>
      <x:c r="C84" s="132" t="s">
        <x:v>1469</x:v>
      </x:c>
      <x:c r="D84" s="132" t="s">
        <x:v>1536</x:v>
      </x:c>
      <x:c r="E84" s="132" t="s">
        <x:v>907</x:v>
      </x:c>
      <x:c r="F84" s="132" t="s">
        <x:v>917</x:v>
      </x:c>
      <x:c r="G84" s="132" t="s">
        <x:v>951</x:v>
      </x:c>
      <x:c r="M84" s="132" t="s">
        <x:v>1537</x:v>
      </x:c>
      <x:c r="N84" s="132" t="s">
        <x:v>432</x:v>
      </x:c>
      <x:c r="O84" s="128">
        <x:v>44409</x:v>
      </x:c>
      <x:c r="P84" s="128">
        <x:v>44454</x:v>
      </x:c>
      <x:c r="Q84" s="128">
        <x:v>44430</x:v>
      </x:c>
      <x:c r="R84" s="128">
        <x:v>44436</x:v>
      </x:c>
      <x:c r="S84" s="129">
        <x:v>35</x:v>
      </x:c>
      <x:c r="T84" s="129">
        <x:v>15</x:v>
      </x:c>
      <x:c r="U84" s="129">
        <x:v>5</x:v>
      </x:c>
      <x:c r="V84" s="130">
        <x:v>0</x:v>
      </x:c>
      <x:c r="W84" s="129">
        <x:v>0</x:v>
      </x:c>
      <x:c r="X84" s="131">
        <x:v>1</x:v>
      </x:c>
      <x:c r="Y84" s="131">
        <x:v>0</x:v>
      </x:c>
      <x:c r="Z84" s="131">
        <x:v>0</x:v>
      </x:c>
      <x:c r="AC84" s="130">
        <x:v>0</x:v>
      </x:c>
    </x:row>
    <x:row r="85" spans="1:29">
      <x:c r="A85" s="132" t="s">
        <x:v>1489</x:v>
      </x:c>
      <x:c r="B85" s="132" t="s">
        <x:v>951</x:v>
      </x:c>
      <x:c r="C85" s="132" t="s">
        <x:v>1469</x:v>
      </x:c>
      <x:c r="D85" s="132" t="s">
        <x:v>1536</x:v>
      </x:c>
      <x:c r="E85" s="132" t="s">
        <x:v>907</x:v>
      </x:c>
      <x:c r="F85" s="132" t="s">
        <x:v>917</x:v>
      </x:c>
      <x:c r="G85" s="132" t="s">
        <x:v>951</x:v>
      </x:c>
      <x:c r="M85" s="132" t="s">
        <x:v>1537</x:v>
      </x:c>
      <x:c r="N85" s="132" t="s">
        <x:v>432</x:v>
      </x:c>
      <x:c r="O85" s="128">
        <x:v>44409</x:v>
      </x:c>
      <x:c r="P85" s="128">
        <x:v>44454</x:v>
      </x:c>
      <x:c r="Q85" s="128">
        <x:v>44437</x:v>
      </x:c>
      <x:c r="R85" s="128">
        <x:v>44443</x:v>
      </x:c>
      <x:c r="S85" s="129">
        <x:v>36</x:v>
      </x:c>
      <x:c r="T85" s="129">
        <x:v>16</x:v>
      </x:c>
      <x:c r="U85" s="129">
        <x:v>5</x:v>
      </x:c>
      <x:c r="V85" s="130">
        <x:v>0</x:v>
      </x:c>
      <x:c r="W85" s="129">
        <x:v>0</x:v>
      </x:c>
      <x:c r="X85" s="131">
        <x:v>1</x:v>
      </x:c>
      <x:c r="Y85" s="131">
        <x:v>0</x:v>
      </x:c>
      <x:c r="Z85" s="131">
        <x:v>0</x:v>
      </x:c>
      <x:c r="AC85" s="130">
        <x:v>0</x:v>
      </x:c>
    </x:row>
    <x:row r="86" spans="1:29">
      <x:c r="A86" s="132" t="s">
        <x:v>1489</x:v>
      </x:c>
      <x:c r="B86" s="132" t="s">
        <x:v>951</x:v>
      </x:c>
      <x:c r="C86" s="132" t="s">
        <x:v>1469</x:v>
      </x:c>
      <x:c r="D86" s="132" t="s">
        <x:v>1536</x:v>
      </x:c>
      <x:c r="E86" s="132" t="s">
        <x:v>907</x:v>
      </x:c>
      <x:c r="F86" s="132" t="s">
        <x:v>917</x:v>
      </x:c>
      <x:c r="G86" s="132" t="s">
        <x:v>951</x:v>
      </x:c>
      <x:c r="M86" s="132" t="s">
        <x:v>1537</x:v>
      </x:c>
      <x:c r="N86" s="132" t="s">
        <x:v>432</x:v>
      </x:c>
      <x:c r="O86" s="128">
        <x:v>44409</x:v>
      </x:c>
      <x:c r="P86" s="128">
        <x:v>44454</x:v>
      </x:c>
      <x:c r="Q86" s="128">
        <x:v>44444</x:v>
      </x:c>
      <x:c r="R86" s="128">
        <x:v>44450</x:v>
      </x:c>
      <x:c r="S86" s="129">
        <x:v>37</x:v>
      </x:c>
      <x:c r="T86" s="129">
        <x:v>17</x:v>
      </x:c>
      <x:c r="U86" s="129">
        <x:v>5</x:v>
      </x:c>
      <x:c r="V86" s="130">
        <x:v>0</x:v>
      </x:c>
      <x:c r="W86" s="129">
        <x:v>0</x:v>
      </x:c>
      <x:c r="X86" s="131">
        <x:v>1</x:v>
      </x:c>
      <x:c r="Y86" s="131">
        <x:v>0</x:v>
      </x:c>
      <x:c r="Z86" s="131">
        <x:v>0</x:v>
      </x:c>
      <x:c r="AC86" s="130">
        <x:v>0</x:v>
      </x:c>
    </x:row>
    <x:row r="87" spans="1:29">
      <x:c r="A87" s="132" t="s">
        <x:v>1489</x:v>
      </x:c>
      <x:c r="B87" s="132" t="s">
        <x:v>951</x:v>
      </x:c>
      <x:c r="C87" s="132" t="s">
        <x:v>1469</x:v>
      </x:c>
      <x:c r="D87" s="132" t="s">
        <x:v>1536</x:v>
      </x:c>
      <x:c r="E87" s="132" t="s">
        <x:v>907</x:v>
      </x:c>
      <x:c r="F87" s="132" t="s">
        <x:v>917</x:v>
      </x:c>
      <x:c r="G87" s="132" t="s">
        <x:v>951</x:v>
      </x:c>
      <x:c r="M87" s="132" t="s">
        <x:v>1537</x:v>
      </x:c>
      <x:c r="N87" s="132" t="s">
        <x:v>432</x:v>
      </x:c>
      <x:c r="O87" s="128">
        <x:v>44409</x:v>
      </x:c>
      <x:c r="P87" s="128">
        <x:v>44454</x:v>
      </x:c>
      <x:c r="Q87" s="128">
        <x:v>44451</x:v>
      </x:c>
      <x:c r="R87" s="128">
        <x:v>44457</x:v>
      </x:c>
      <x:c r="S87" s="129">
        <x:v>38</x:v>
      </x:c>
      <x:c r="T87" s="129">
        <x:v>18</x:v>
      </x:c>
      <x:c r="U87" s="129">
        <x:v>3</x:v>
      </x:c>
      <x:c r="V87" s="130">
        <x:v>0</x:v>
      </x:c>
      <x:c r="W87" s="129">
        <x:v>0</x:v>
      </x:c>
      <x:c r="X87" s="131">
        <x:v>1</x:v>
      </x:c>
      <x:c r="Y87" s="131">
        <x:v>0</x:v>
      </x:c>
      <x:c r="Z87" s="131">
        <x:v>0</x:v>
      </x:c>
      <x:c r="AC87" s="130">
        <x:v>0</x:v>
      </x:c>
    </x:row>
    <x:row r="88" spans="1:29">
      <x:c r="A88" s="132" t="s">
        <x:v>1470</x:v>
      </x:c>
      <x:c r="B88" s="132" t="s">
        <x:v>916</x:v>
      </x:c>
      <x:c r="C88" s="132" t="s">
        <x:v>1469</x:v>
      </x:c>
      <x:c r="D88" s="132" t="s">
        <x:v>1536</x:v>
      </x:c>
      <x:c r="E88" s="132" t="s">
        <x:v>915</x:v>
      </x:c>
      <x:c r="F88" s="132" t="s">
        <x:v>916</x:v>
      </x:c>
      <x:c r="M88" s="132" t="s">
        <x:v>896</x:v>
      </x:c>
      <x:c r="N88" s="132" t="s">
        <x:v>432</x:v>
      </x:c>
      <x:c r="O88" s="128">
        <x:v>44437</x:v>
      </x:c>
      <x:c r="P88" s="128">
        <x:v>44455</x:v>
      </x:c>
      <x:c r="Q88" s="128">
        <x:v>44437</x:v>
      </x:c>
      <x:c r="R88" s="128">
        <x:v>44443</x:v>
      </x:c>
      <x:c r="S88" s="129">
        <x:v>36</x:v>
      </x:c>
      <x:c r="T88" s="129">
        <x:v>16</x:v>
      </x:c>
      <x:c r="U88" s="129">
        <x:v>5</x:v>
      </x:c>
      <x:c r="V88" s="130">
        <x:v>0</x:v>
      </x:c>
      <x:c r="W88" s="129">
        <x:v>0</x:v>
      </x:c>
      <x:c r="X88" s="131">
        <x:v>1</x:v>
      </x:c>
      <x:c r="Y88" s="131">
        <x:v>0</x:v>
      </x:c>
      <x:c r="Z88" s="131">
        <x:v>0</x:v>
      </x:c>
      <x:c r="AC88" s="130">
        <x:v>0</x:v>
      </x:c>
    </x:row>
    <x:row r="89" spans="1:29">
      <x:c r="A89" s="132" t="s">
        <x:v>1470</x:v>
      </x:c>
      <x:c r="B89" s="132" t="s">
        <x:v>916</x:v>
      </x:c>
      <x:c r="C89" s="132" t="s">
        <x:v>1469</x:v>
      </x:c>
      <x:c r="D89" s="132" t="s">
        <x:v>1536</x:v>
      </x:c>
      <x:c r="E89" s="132" t="s">
        <x:v>915</x:v>
      </x:c>
      <x:c r="F89" s="132" t="s">
        <x:v>916</x:v>
      </x:c>
      <x:c r="M89" s="132" t="s">
        <x:v>896</x:v>
      </x:c>
      <x:c r="N89" s="132" t="s">
        <x:v>432</x:v>
      </x:c>
      <x:c r="O89" s="128">
        <x:v>44437</x:v>
      </x:c>
      <x:c r="P89" s="128">
        <x:v>44455</x:v>
      </x:c>
      <x:c r="Q89" s="128">
        <x:v>44444</x:v>
      </x:c>
      <x:c r="R89" s="128">
        <x:v>44450</x:v>
      </x:c>
      <x:c r="S89" s="129">
        <x:v>37</x:v>
      </x:c>
      <x:c r="T89" s="129">
        <x:v>17</x:v>
      </x:c>
      <x:c r="U89" s="129">
        <x:v>5</x:v>
      </x:c>
      <x:c r="V89" s="130">
        <x:v>0</x:v>
      </x:c>
      <x:c r="W89" s="129">
        <x:v>0</x:v>
      </x:c>
      <x:c r="X89" s="131">
        <x:v>1</x:v>
      </x:c>
      <x:c r="Y89" s="131">
        <x:v>0</x:v>
      </x:c>
      <x:c r="Z89" s="131">
        <x:v>0</x:v>
      </x:c>
      <x:c r="AC89" s="130">
        <x:v>0</x:v>
      </x:c>
    </x:row>
    <x:row r="90" spans="1:29">
      <x:c r="A90" s="132" t="s">
        <x:v>1470</x:v>
      </x:c>
      <x:c r="B90" s="132" t="s">
        <x:v>916</x:v>
      </x:c>
      <x:c r="C90" s="132" t="s">
        <x:v>1469</x:v>
      </x:c>
      <x:c r="D90" s="132" t="s">
        <x:v>1536</x:v>
      </x:c>
      <x:c r="E90" s="132" t="s">
        <x:v>915</x:v>
      </x:c>
      <x:c r="F90" s="132" t="s">
        <x:v>916</x:v>
      </x:c>
      <x:c r="M90" s="132" t="s">
        <x:v>896</x:v>
      </x:c>
      <x:c r="N90" s="132" t="s">
        <x:v>432</x:v>
      </x:c>
      <x:c r="O90" s="128">
        <x:v>44437</x:v>
      </x:c>
      <x:c r="P90" s="128">
        <x:v>44455</x:v>
      </x:c>
      <x:c r="Q90" s="128">
        <x:v>44451</x:v>
      </x:c>
      <x:c r="R90" s="128">
        <x:v>44457</x:v>
      </x:c>
      <x:c r="S90" s="129">
        <x:v>38</x:v>
      </x:c>
      <x:c r="T90" s="129">
        <x:v>18</x:v>
      </x:c>
      <x:c r="U90" s="129">
        <x:v>4</x:v>
      </x:c>
      <x:c r="V90" s="130">
        <x:v>0</x:v>
      </x:c>
      <x:c r="W90" s="129">
        <x:v>0</x:v>
      </x:c>
      <x:c r="X90" s="131">
        <x:v>1</x:v>
      </x:c>
      <x:c r="Y90" s="131">
        <x:v>0</x:v>
      </x:c>
      <x:c r="Z90" s="131">
        <x:v>0</x:v>
      </x:c>
      <x:c r="AC90" s="130">
        <x:v>0</x:v>
      </x:c>
    </x:row>
    <x:row r="91" spans="1:29">
      <x:c r="A91" s="132" t="s">
        <x:v>1470</x:v>
      </x:c>
      <x:c r="B91" s="132" t="s">
        <x:v>898</x:v>
      </x:c>
      <x:c r="C91" s="132" t="s">
        <x:v>1469</x:v>
      </x:c>
      <x:c r="D91" s="132" t="s">
        <x:v>1536</x:v>
      </x:c>
      <x:c r="E91" s="132" t="s">
        <x:v>915</x:v>
      </x:c>
      <x:c r="F91" s="132" t="s">
        <x:v>898</x:v>
      </x:c>
      <x:c r="M91" s="132" t="s">
        <x:v>952</x:v>
      </x:c>
      <x:c r="N91" s="132" t="s">
        <x:v>432</x:v>
      </x:c>
      <x:c r="O91" s="128">
        <x:v>44458</x:v>
      </x:c>
      <x:c r="P91" s="128">
        <x:v>44462</x:v>
      </x:c>
      <x:c r="Q91" s="128">
        <x:v>44458</x:v>
      </x:c>
      <x:c r="R91" s="128">
        <x:v>44464</x:v>
      </x:c>
      <x:c r="S91" s="129">
        <x:v>39</x:v>
      </x:c>
      <x:c r="T91" s="129">
        <x:v>19</x:v>
      </x:c>
      <x:c r="U91" s="129">
        <x:v>1</x:v>
      </x:c>
      <x:c r="V91" s="130">
        <x:v>0</x:v>
      </x:c>
      <x:c r="W91" s="129">
        <x:v>0</x:v>
      </x:c>
      <x:c r="X91" s="131">
        <x:v>1</x:v>
      </x:c>
      <x:c r="Y91" s="131">
        <x:v>0</x:v>
      </x:c>
      <x:c r="Z91" s="131">
        <x:v>0</x:v>
      </x:c>
      <x:c r="AC91" s="130">
        <x:v>0</x:v>
      </x:c>
    </x:row>
    <x:row r="92" spans="1:29">
      <x:c r="A92" s="132" t="s">
        <x:v>1470</x:v>
      </x:c>
      <x:c r="B92" s="132" t="s">
        <x:v>924</x:v>
      </x:c>
      <x:c r="C92" s="132" t="s">
        <x:v>1469</x:v>
      </x:c>
      <x:c r="D92" s="132" t="s">
        <x:v>1542</x:v>
      </x:c>
      <x:c r="E92" s="132" t="s">
        <x:v>900</x:v>
      </x:c>
      <x:c r="F92" s="132" t="s">
        <x:v>924</x:v>
      </x:c>
      <x:c r="M92" s="132" t="s">
        <x:v>495</x:v>
      </x:c>
      <x:c r="N92" s="132" t="s">
        <x:v>432</x:v>
      </x:c>
      <x:c r="O92" s="128">
        <x:v>44458</x:v>
      </x:c>
      <x:c r="P92" s="128">
        <x:v>44460</x:v>
      </x:c>
      <x:c r="Q92" s="128">
        <x:v>44458</x:v>
      </x:c>
      <x:c r="R92" s="128">
        <x:v>44464</x:v>
      </x:c>
      <x:c r="S92" s="129">
        <x:v>39</x:v>
      </x:c>
      <x:c r="T92" s="129">
        <x:v>19</x:v>
      </x:c>
      <x:c r="U92" s="129">
        <x:v>0</x:v>
      </x:c>
      <x:c r="V92" s="130">
        <x:v>0</x:v>
      </x:c>
      <x:c r="W92" s="129">
        <x:v>0</x:v>
      </x:c>
      <x:c r="X92" s="131">
        <x:v>1</x:v>
      </x:c>
      <x:c r="Y92" s="131">
        <x:v>0</x:v>
      </x:c>
      <x:c r="Z92" s="131">
        <x:v>0</x:v>
      </x:c>
      <x:c r="AC92" s="130">
        <x:v>0</x:v>
      </x:c>
    </x:row>
    <x:row r="93" spans="1:29">
      <x:c r="A93" s="132" t="s">
        <x:v>1470</x:v>
      </x:c>
      <x:c r="B93" s="132" t="s">
        <x:v>931</x:v>
      </x:c>
      <x:c r="C93" s="132" t="s">
        <x:v>1469</x:v>
      </x:c>
      <x:c r="D93" s="132" t="s">
        <x:v>1542</x:v>
      </x:c>
      <x:c r="E93" s="132" t="s">
        <x:v>923</x:v>
      </x:c>
      <x:c r="F93" s="132" t="s">
        <x:v>931</x:v>
      </x:c>
      <x:c r="M93" s="132" t="s">
        <x:v>948</x:v>
      </x:c>
      <x:c r="N93" s="132" t="s">
        <x:v>432</x:v>
      </x:c>
      <x:c r="O93" s="128">
        <x:v>44462</x:v>
      </x:c>
      <x:c r="P93" s="128">
        <x:v>44464</x:v>
      </x:c>
      <x:c r="Q93" s="128">
        <x:v>44458</x:v>
      </x:c>
      <x:c r="R93" s="128">
        <x:v>44464</x:v>
      </x:c>
      <x:c r="S93" s="129">
        <x:v>39</x:v>
      </x:c>
      <x:c r="T93" s="129">
        <x:v>19</x:v>
      </x:c>
      <x:c r="U93" s="129">
        <x:v>2</x:v>
      </x:c>
      <x:c r="V93" s="130">
        <x:v>0</x:v>
      </x:c>
      <x:c r="W93" s="129">
        <x:v>0</x:v>
      </x:c>
      <x:c r="X93" s="131">
        <x:v>1</x:v>
      </x:c>
      <x:c r="Y93" s="131">
        <x:v>0</x:v>
      </x:c>
      <x:c r="Z93" s="131">
        <x:v>0</x:v>
      </x:c>
      <x:c r="AC93" s="130">
        <x:v>0</x:v>
      </x:c>
    </x:row>
    <x:row r="94" spans="1:29">
      <x:c r="A94" s="132" t="s">
        <x:v>1470</x:v>
      </x:c>
      <x:c r="B94" s="132" t="s">
        <x:v>939</x:v>
      </x:c>
      <x:c r="C94" s="132" t="s">
        <x:v>1469</x:v>
      </x:c>
      <x:c r="D94" s="132" t="s">
        <x:v>1542</x:v>
      </x:c>
      <x:c r="E94" s="132" t="s">
        <x:v>923</x:v>
      </x:c>
      <x:c r="F94" s="132" t="s">
        <x:v>939</x:v>
      </x:c>
      <x:c r="M94" s="132" t="s">
        <x:v>926</x:v>
      </x:c>
      <x:c r="N94" s="132" t="s">
        <x:v>432</x:v>
      </x:c>
      <x:c r="O94" s="128">
        <x:v>44462</x:v>
      </x:c>
      <x:c r="P94" s="128">
        <x:v>44464</x:v>
      </x:c>
      <x:c r="Q94" s="128">
        <x:v>44458</x:v>
      </x:c>
      <x:c r="R94" s="128">
        <x:v>44464</x:v>
      </x:c>
      <x:c r="S94" s="129">
        <x:v>39</x:v>
      </x:c>
      <x:c r="T94" s="129">
        <x:v>19</x:v>
      </x:c>
      <x:c r="U94" s="129">
        <x:v>2</x:v>
      </x:c>
      <x:c r="V94" s="130">
        <x:v>0</x:v>
      </x:c>
      <x:c r="W94" s="129">
        <x:v>0</x:v>
      </x:c>
      <x:c r="X94" s="131">
        <x:v>1</x:v>
      </x:c>
      <x:c r="Y94" s="131">
        <x:v>0</x:v>
      </x:c>
      <x:c r="Z94" s="131">
        <x:v>0</x:v>
      </x:c>
      <x:c r="AC94" s="130">
        <x:v>0</x:v>
      </x:c>
    </x:row>
    <x:row r="95" spans="1:29">
      <x:c r="A95" s="132" t="s">
        <x:v>1470</x:v>
      </x:c>
      <x:c r="B95" s="132" t="s">
        <x:v>927</x:v>
      </x:c>
      <x:c r="C95" s="132" t="s">
        <x:v>1469</x:v>
      </x:c>
      <x:c r="D95" s="132" t="s">
        <x:v>1542</x:v>
      </x:c>
      <x:c r="E95" s="132" t="s">
        <x:v>923</x:v>
      </x:c>
      <x:c r="F95" s="132" t="s">
        <x:v>927</x:v>
      </x:c>
      <x:c r="M95" s="132" t="s">
        <x:v>937</x:v>
      </x:c>
      <x:c r="N95" s="132" t="s">
        <x:v>432</x:v>
      </x:c>
      <x:c r="O95" s="128">
        <x:v>44462</x:v>
      </x:c>
      <x:c r="P95" s="128">
        <x:v>44464</x:v>
      </x:c>
      <x:c r="Q95" s="128">
        <x:v>44458</x:v>
      </x:c>
      <x:c r="R95" s="128">
        <x:v>44464</x:v>
      </x:c>
      <x:c r="S95" s="129">
        <x:v>39</x:v>
      </x:c>
      <x:c r="T95" s="129">
        <x:v>19</x:v>
      </x:c>
      <x:c r="U95" s="129">
        <x:v>2</x:v>
      </x:c>
      <x:c r="V95" s="130">
        <x:v>0</x:v>
      </x:c>
      <x:c r="W95" s="129">
        <x:v>0</x:v>
      </x:c>
      <x:c r="X95" s="131">
        <x:v>1</x:v>
      </x:c>
      <x:c r="Y95" s="131">
        <x:v>0</x:v>
      </x:c>
      <x:c r="Z95" s="131">
        <x:v>0</x:v>
      </x:c>
      <x:c r="AC95" s="130">
        <x:v>0</x:v>
      </x:c>
    </x:row>
    <x:row r="96" spans="1:29">
      <x:c r="A96" s="132" t="s">
        <x:v>1470</x:v>
      </x:c>
      <x:c r="B96" s="132" t="s">
        <x:v>928</x:v>
      </x:c>
      <x:c r="C96" s="132" t="s">
        <x:v>1469</x:v>
      </x:c>
      <x:c r="D96" s="132" t="s">
        <x:v>1542</x:v>
      </x:c>
      <x:c r="E96" s="132" t="s">
        <x:v>923</x:v>
      </x:c>
      <x:c r="F96" s="132" t="s">
        <x:v>928</x:v>
      </x:c>
      <x:c r="M96" s="132" t="s">
        <x:v>929</x:v>
      </x:c>
      <x:c r="N96" s="132" t="s">
        <x:v>432</x:v>
      </x:c>
      <x:c r="O96" s="128">
        <x:v>44465</x:v>
      </x:c>
      <x:c r="P96" s="128">
        <x:v>44465</x:v>
      </x:c>
      <x:c r="Q96" s="128">
        <x:v>44465</x:v>
      </x:c>
      <x:c r="R96" s="128">
        <x:v>44471</x:v>
      </x:c>
      <x:c r="S96" s="129">
        <x:v>40</x:v>
      </x:c>
      <x:c r="T96" s="129">
        <x:v>20</x:v>
      </x:c>
      <x:c r="U96" s="129">
        <x:v>0</x:v>
      </x:c>
      <x:c r="V96" s="130">
        <x:v>0</x:v>
      </x:c>
      <x:c r="W96" s="129">
        <x:v>0</x:v>
      </x:c>
      <x:c r="X96" s="131">
        <x:v>0</x:v>
      </x:c>
      <x:c r="Y96" s="131">
        <x:v>0</x:v>
      </x:c>
      <x:c r="Z96" s="131">
        <x:v>0</x:v>
      </x:c>
      <x:c r="AC96" s="130">
        <x:v>0</x:v>
      </x:c>
    </x:row>
  </x:sheetData>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9.xml><?xml version="1.0" encoding="utf-8"?>
<x:worksheet xmlns:r="http://schemas.openxmlformats.org/officeDocument/2006/relationships" xmlns:c="http://schemas.openxmlformats.org/drawingml/2006/chart" xmlns:x="http://schemas.openxmlformats.org/spreadsheetml/2006/main">
  <x:sheetPr codeName="Sheet15"/>
  <x:dimension ref="A1:Z17"/>
  <x:sheetViews>
    <x:sheetView topLeftCell="A1" zoomScale="85" zoomScaleNormal="85" zoomScaleSheetLayoutView="75" workbookViewId="0">
      <x:selection activeCell="I30" activeCellId="0" sqref="I30:I30"/>
    </x:sheetView>
  </x:sheetViews>
  <x:sheetFormatPr defaultColWidth="9.00390625" defaultRowHeight="16.399999999999999"/>
  <x:cols>
    <x:col min="1" max="1" width="50.625" style="1" bestFit="1" customWidth="1"/>
    <x:col min="2" max="2" width="19" style="1" bestFit="1" customWidth="1"/>
    <x:col min="3" max="3" width="23" style="1" bestFit="1" customWidth="1"/>
    <x:col min="4" max="4" width="14.25" style="1" bestFit="1" customWidth="1"/>
    <x:col min="5" max="5" width="9.375" style="1" bestFit="1" customWidth="1"/>
    <x:col min="6" max="6" width="5.75" style="1" bestFit="1" customWidth="1"/>
    <x:col min="7" max="7" width="17.875" style="1" bestFit="1" customWidth="1"/>
    <x:col min="8" max="8" width="5.25" style="1" bestFit="1" customWidth="1"/>
    <x:col min="9" max="10" width="11.625" style="84" bestFit="1" customWidth="1"/>
    <x:col min="11" max="11" width="24.875" style="84" bestFit="1" customWidth="1"/>
    <x:col min="12" max="12" width="9.125" style="1" bestFit="1" customWidth="1"/>
    <x:col min="14" max="14" width="24.875" style="84" bestFit="1" customWidth="1"/>
    <x:col min="15" max="15" width="11" style="1" bestFit="1" customWidth="1"/>
    <x:col min="16" max="16" width="7.125" style="1" bestFit="1" customWidth="1"/>
    <x:col min="18" max="19" width="11" style="1" bestFit="1" customWidth="1"/>
    <x:col min="20" max="20" width="13" style="1" bestFit="1" customWidth="1"/>
    <x:col min="21" max="21" width="11" style="1" bestFit="1" customWidth="1"/>
    <x:col min="22" max="22" width="7.125" style="1" bestFit="1" customWidth="1"/>
    <x:col min="23" max="23" width="13.5" style="1" bestFit="1" customWidth="1"/>
    <x:col min="24" max="24" width="7.125" style="1" bestFit="1" customWidth="1"/>
    <x:col min="25" max="26" width="11" style="1" bestFit="1" customWidth="1"/>
    <x:col min="27" max="27" width="0" style="1" hidden="1" customWidth="1"/>
  </x:cols>
  <x:sheetData>
    <x:row r="1" spans="1:26">
      <x:c r="A1" s="95" t="s">
        <x:v>1044</x:v>
      </x:c>
      <x:c r="B1" s="95" t="s">
        <x:v>1049</x:v>
      </x:c>
      <x:c r="C1" s="95" t="s">
        <x:v>649</x:v>
      </x:c>
      <x:c r="D1" s="95" t="s">
        <x:v>1344</x:v>
      </x:c>
      <x:c r="E1" s="95" t="s">
        <x:v>390</x:v>
      </x:c>
      <x:c r="F1" s="95" t="s">
        <x:v>1465</x:v>
      </x:c>
      <x:c r="G1" s="95" t="s">
        <x:v>1441</x:v>
      </x:c>
      <x:c r="H1" s="95" t="s">
        <x:v>1445</x:v>
      </x:c>
      <x:c r="I1" s="138" t="s">
        <x:v>1438</x:v>
      </x:c>
      <x:c r="J1" s="138" t="s">
        <x:v>1435</x:v>
      </x:c>
      <x:c r="K1" s="138" t="s">
        <x:v>858</x:v>
      </x:c>
      <x:c r="L1" s="95" t="s">
        <x:v>332</x:v>
      </x:c>
      <x:c r="M1" s="95" t="s">
        <x:v>745</x:v>
      </x:c>
      <x:c r="N1" s="138" t="s">
        <x:v>880</x:v>
      </x:c>
      <x:c r="O1" s="95" t="s">
        <x:v>760</x:v>
      </x:c>
      <x:c r="P1" s="95" t="s">
        <x:v>1462</x:v>
      </x:c>
      <x:c r="Q1" s="95" t="s">
        <x:v>754</x:v>
      </x:c>
      <x:c r="R1" s="95" t="s">
        <x:v>738</x:v>
      </x:c>
      <x:c r="S1" s="95" t="s">
        <x:v>756</x:v>
      </x:c>
      <x:c r="T1" s="95" t="s">
        <x:v>752</x:v>
      </x:c>
      <x:c r="U1" s="95" t="s">
        <x:v>749</x:v>
      </x:c>
      <x:c r="V1" s="95" t="s">
        <x:v>1450</x:v>
      </x:c>
      <x:c r="W1" s="95" t="s">
        <x:v>1447</x:v>
      </x:c>
      <x:c r="X1" s="95" t="s">
        <x:v>1461</x:v>
      </x:c>
      <x:c r="Y1" s="95" t="s">
        <x:v>797</x:v>
      </x:c>
      <x:c r="Z1" s="95" t="s">
        <x:v>761</x:v>
      </x:c>
    </x:row>
    <x:row r="2" spans="1:26">
      <x:c r="A2" s="213"/>
      <x:c r="B2" s="1" t="s">
        <x:v>436</x:v>
      </x:c>
      <x:c r="C2" s="1" t="s">
        <x:v>415</x:v>
      </x:c>
      <x:c r="D2" s="1" t="s">
        <x:v>1468</x:v>
      </x:c>
      <x:c r="E2" s="1">
        <x:v>1</x:v>
      </x:c>
      <x:c r="F2" s="1" t="s">
        <x:v>1468</x:v>
      </x:c>
      <x:c r="G2" s="1" t="s">
        <x:v>437</x:v>
      </x:c>
      <x:c r="I2" s="84">
        <x:v>44340</x:v>
      </x:c>
      <x:c r="J2" s="84">
        <x:v>44407</x:v>
      </x:c>
      <x:c r="Y2" s="1">
        <x:v>0</x:v>
      </x:c>
      <x:c r="Z2" s="1">
        <x:v>0</x:v>
      </x:c>
    </x:row>
    <x:row r="3" spans="2:26">
      <x:c r="B3" s="84">
        <x:v>44317</x:v>
      </x:c>
      <x:c r="C3" s="1" t="s">
        <x:v>416</x:v>
      </x:c>
      <x:c r="D3" s="1" t="s">
        <x:v>1469</x:v>
      </x:c>
      <x:c r="E3" s="1">
        <x:v>2</x:v>
      </x:c>
      <x:c r="F3" s="1" t="s">
        <x:v>1477</x:v>
      </x:c>
      <x:c r="G3" s="1" t="s">
        <x:v>1463</x:v>
      </x:c>
      <x:c r="I3" s="84">
        <x:v>44340</x:v>
      </x:c>
      <x:c r="J3" s="84">
        <x:v>44344</x:v>
      </x:c>
      <x:c r="Y3" s="1">
        <x:v>0</x:v>
      </x:c>
      <x:c r="Z3" s="1">
        <x:v>0</x:v>
      </x:c>
    </x:row>
    <x:row r="4" spans="2:26">
      <x:c r="B4" s="84">
        <x:v>44439</x:v>
      </x:c>
      <x:c r="C4" s="1" t="s">
        <x:v>422</x:v>
      </x:c>
      <x:c r="D4" s="1" t="s">
        <x:v>1480</x:v>
      </x:c>
      <x:c r="E4" s="1">
        <x:v>3</x:v>
      </x:c>
      <x:c r="F4" s="1" t="s">
        <x:v>810</x:v>
      </x:c>
      <x:c r="G4" s="1" t="s">
        <x:v>850</x:v>
      </x:c>
      <x:c r="I4" s="84">
        <x:v>44340</x:v>
      </x:c>
      <x:c r="J4" s="84">
        <x:v>44343</x:v>
      </x:c>
      <x:c r="W4" s="1" t="s">
        <x:v>839</x:v>
      </x:c>
      <x:c r="Y4" s="85">
        <x:v>1</x:v>
      </x:c>
      <x:c r="Z4" s="85">
        <x:v>1</x:v>
      </x:c>
    </x:row>
    <x:row r="5" spans="2:26">
      <x:c r="B5" s="85">
        <x:v>0.45000000000000001</x:v>
      </x:c>
      <x:c r="C5" s="1" t="s">
        <x:v>420</x:v>
      </x:c>
      <x:c r="D5" s="1" t="s">
        <x:v>1470</x:v>
      </x:c>
      <x:c r="E5" s="1">
        <x:v>3</x:v>
      </x:c>
      <x:c r="F5" s="1" t="s">
        <x:v>807</x:v>
      </x:c>
      <x:c r="G5" s="1" t="s">
        <x:v>853</x:v>
      </x:c>
      <x:c r="I5" s="84">
        <x:v>44344</x:v>
      </x:c>
      <x:c r="J5" s="84">
        <x:v>44344</x:v>
      </x:c>
      <x:c r="K5" s="84" t="s">
        <x:v>1350</x:v>
      </x:c>
      <x:c r="N5" s="84" t="s">
        <x:v>1350</x:v>
      </x:c>
      <x:c r="R5" s="84"/>
      <x:c r="Y5" s="85">
        <x:v>1</x:v>
      </x:c>
      <x:c r="Z5" s="85">
        <x:v>1</x:v>
      </x:c>
    </x:row>
    <x:row r="6" spans="2:26">
      <x:c r="B6" s="94">
        <x:v>0.43330000000000002</x:v>
      </x:c>
      <x:c r="C6" s="1" t="s">
        <x:v>426</x:v>
      </x:c>
      <x:c r="D6" s="1" t="s">
        <x:v>1489</x:v>
      </x:c>
      <x:c r="E6" s="1">
        <x:v>3</x:v>
      </x:c>
      <x:c r="F6" s="1" t="s">
        <x:v>822</x:v>
      </x:c>
      <x:c r="G6" s="1" t="s">
        <x:v>1337</x:v>
      </x:c>
      <x:c r="I6" s="84">
        <x:v>44340</x:v>
      </x:c>
      <x:c r="J6" s="84">
        <x:v>44342</x:v>
      </x:c>
      <x:c r="W6" s="1" t="s">
        <x:v>1511</x:v>
      </x:c>
      <x:c r="Y6" s="1">
        <x:v>0</x:v>
      </x:c>
      <x:c r="Z6" s="1">
        <x:v>0</x:v>
      </x:c>
    </x:row>
    <x:row r="7" spans="3:26">
      <x:c r="C7" s="1" t="s">
        <x:v>424</x:v>
      </x:c>
      <x:c r="D7" s="1" t="s">
        <x:v>1490</x:v>
      </x:c>
      <x:c r="E7" s="1">
        <x:v>3</x:v>
      </x:c>
      <x:c r="F7" s="1" t="s">
        <x:v>824</x:v>
      </x:c>
      <x:c r="G7" s="1" t="s">
        <x:v>417</x:v>
      </x:c>
      <x:c r="I7" s="84">
        <x:v>44343</x:v>
      </x:c>
      <x:c r="J7" s="84">
        <x:v>44344</x:v>
      </x:c>
      <x:c r="W7" s="1" t="s">
        <x:v>1511</x:v>
      </x:c>
      <x:c r="Y7" s="1">
        <x:v>0</x:v>
      </x:c>
      <x:c r="Z7" s="1">
        <x:v>0</x:v>
      </x:c>
    </x:row>
    <x:row r="8" spans="3:26">
      <x:c r="C8" s="1" t="s">
        <x:v>423</x:v>
      </x:c>
      <x:c r="D8" s="1" t="s">
        <x:v>1473</x:v>
      </x:c>
      <x:c r="E8" s="1">
        <x:v>2</x:v>
      </x:c>
      <x:c r="F8" s="1" t="s">
        <x:v>1476</x:v>
      </x:c>
      <x:c r="G8" s="1" t="s">
        <x:v>1529</x:v>
      </x:c>
      <x:c r="I8" s="84">
        <x:v>44347</x:v>
      </x:c>
      <x:c r="J8" s="84">
        <x:v>44365</x:v>
      </x:c>
      <x:c r="Y8" s="1">
        <x:v>0</x:v>
      </x:c>
      <x:c r="Z8" s="1">
        <x:v>0</x:v>
      </x:c>
    </x:row>
    <x:row r="9" spans="3:26">
      <x:c r="C9" s="1" t="s">
        <x:v>421</x:v>
      </x:c>
      <x:c r="D9" s="1" t="s">
        <x:v>1491</x:v>
      </x:c>
      <x:c r="E9" s="1">
        <x:v>3</x:v>
      </x:c>
      <x:c r="F9" s="1" t="s">
        <x:v>816</x:v>
      </x:c>
      <x:c r="G9" s="1" t="s">
        <x:v>435</x:v>
      </x:c>
      <x:c r="I9" s="84">
        <x:v>44347</x:v>
      </x:c>
      <x:c r="J9" s="84">
        <x:v>44351</x:v>
      </x:c>
      <x:c r="W9" s="1" t="s">
        <x:v>1524</x:v>
      </x:c>
      <x:c r="Y9" s="1">
        <x:v>0</x:v>
      </x:c>
      <x:c r="Z9" s="1">
        <x:v>0</x:v>
      </x:c>
    </x:row>
    <x:row r="10" spans="3:26">
      <x:c r="C10" s="1" t="s">
        <x:v>425</x:v>
      </x:c>
      <x:c r="D10" s="1" t="s">
        <x:v>1478</x:v>
      </x:c>
      <x:c r="E10" s="1">
        <x:v>3</x:v>
      </x:c>
      <x:c r="F10" s="1" t="s">
        <x:v>825</x:v>
      </x:c>
      <x:c r="G10" s="1" t="s">
        <x:v>844</x:v>
      </x:c>
      <x:c r="I10" s="84">
        <x:v>44354</x:v>
      </x:c>
      <x:c r="J10" s="84">
        <x:v>44365</x:v>
      </x:c>
      <x:c r="W10" s="1" t="s">
        <x:v>1524</x:v>
      </x:c>
      <x:c r="Y10" s="1">
        <x:v>0</x:v>
      </x:c>
      <x:c r="Z10" s="1">
        <x:v>0</x:v>
      </x:c>
    </x:row>
    <x:row r="11" spans="4:26">
      <x:c r="D11" s="1" t="s">
        <x:v>1519</x:v>
      </x:c>
      <x:c r="E11" s="1">
        <x:v>2</x:v>
      </x:c>
      <x:c r="F11" s="1" t="s">
        <x:v>1483</x:v>
      </x:c>
      <x:c r="G11" s="1" t="s">
        <x:v>1520</x:v>
      </x:c>
      <x:c r="I11" s="84">
        <x:v>44368</x:v>
      </x:c>
      <x:c r="J11" s="84">
        <x:v>44393</x:v>
      </x:c>
      <x:c r="Y11" s="1">
        <x:v>0</x:v>
      </x:c>
      <x:c r="Z11" s="1">
        <x:v>0</x:v>
      </x:c>
    </x:row>
    <x:row r="12" spans="4:26">
      <x:c r="D12" s="1" t="s">
        <x:v>1515</x:v>
      </x:c>
      <x:c r="E12" s="1">
        <x:v>3</x:v>
      </x:c>
      <x:c r="F12" s="1" t="s">
        <x:v>821</x:v>
      </x:c>
      <x:c r="G12" s="1" t="s">
        <x:v>1527</x:v>
      </x:c>
      <x:c r="I12" s="84">
        <x:v>44368</x:v>
      </x:c>
      <x:c r="J12" s="84">
        <x:v>44386</x:v>
      </x:c>
      <x:c r="Y12" s="1">
        <x:v>0</x:v>
      </x:c>
      <x:c r="Z12" s="1">
        <x:v>0</x:v>
      </x:c>
    </x:row>
    <x:row r="13" spans="4:26">
      <x:c r="D13" s="1" t="s">
        <x:v>1517</x:v>
      </x:c>
      <x:c r="E13" s="1">
        <x:v>3</x:v>
      </x:c>
      <x:c r="F13" s="1" t="s">
        <x:v>829</x:v>
      </x:c>
      <x:c r="G13" s="1" t="s">
        <x:v>831</x:v>
      </x:c>
      <x:c r="I13" s="84">
        <x:v>44389</x:v>
      </x:c>
      <x:c r="J13" s="84">
        <x:v>44393</x:v>
      </x:c>
      <x:c r="W13" s="1" t="s">
        <x:v>1500</x:v>
      </x:c>
      <x:c r="Y13" s="1">
        <x:v>0</x:v>
      </x:c>
      <x:c r="Z13" s="1">
        <x:v>0</x:v>
      </x:c>
    </x:row>
    <x:row r="14" spans="4:26">
      <x:c r="D14" s="1" t="s">
        <x:v>1523</x:v>
      </x:c>
      <x:c r="E14" s="1">
        <x:v>2</x:v>
      </x:c>
      <x:c r="F14" s="1" t="s">
        <x:v>1522</x:v>
      </x:c>
      <x:c r="G14" s="1" t="s">
        <x:v>1530</x:v>
      </x:c>
      <x:c r="I14" s="84">
        <x:v>44396</x:v>
      </x:c>
      <x:c r="J14" s="84">
        <x:v>44407</x:v>
      </x:c>
      <x:c r="Y14" s="1">
        <x:v>0</x:v>
      </x:c>
      <x:c r="Z14" s="1">
        <x:v>0</x:v>
      </x:c>
    </x:row>
    <x:row r="15" spans="4:26">
      <x:c r="D15" s="1" t="s">
        <x:v>1518</x:v>
      </x:c>
      <x:c r="E15" s="1">
        <x:v>3</x:v>
      </x:c>
      <x:c r="F15" s="1" t="s">
        <x:v>798</x:v>
      </x:c>
      <x:c r="G15" s="1" t="s">
        <x:v>854</x:v>
      </x:c>
      <x:c r="I15" s="84">
        <x:v>44396</x:v>
      </x:c>
      <x:c r="J15" s="84">
        <x:v>44400</x:v>
      </x:c>
      <x:c r="W15" s="1" t="s">
        <x:v>832</x:v>
      </x:c>
      <x:c r="Y15" s="1">
        <x:v>0</x:v>
      </x:c>
      <x:c r="Z15" s="1">
        <x:v>0</x:v>
      </x:c>
    </x:row>
    <x:row r="16" spans="4:26">
      <x:c r="D16" s="1" t="s">
        <x:v>1510</x:v>
      </x:c>
      <x:c r="E16" s="1">
        <x:v>3</x:v>
      </x:c>
      <x:c r="F16" s="1" t="s">
        <x:v>799</x:v>
      </x:c>
      <x:c r="G16" s="1" t="s">
        <x:v>833</x:v>
      </x:c>
      <x:c r="I16" s="84">
        <x:v>44403</x:v>
      </x:c>
      <x:c r="J16" s="84">
        <x:v>44405</x:v>
      </x:c>
      <x:c r="K16" s="84" t="s">
        <x:v>434</x:v>
      </x:c>
      <x:c r="N16" s="84" t="s">
        <x:v>434</x:v>
      </x:c>
      <x:c r="W16" s="1" t="s">
        <x:v>1479</x:v>
      </x:c>
      <x:c r="Y16" s="1">
        <x:v>0</x:v>
      </x:c>
      <x:c r="Z16" s="1">
        <x:v>0</x:v>
      </x:c>
    </x:row>
    <x:row r="17" spans="4:26">
      <x:c r="D17" s="1" t="s">
        <x:v>1526</x:v>
      </x:c>
      <x:c r="E17" s="1">
        <x:v>3</x:v>
      </x:c>
      <x:c r="F17" s="1" t="s">
        <x:v>808</x:v>
      </x:c>
      <x:c r="G17" s="1" t="s">
        <x:v>1499</x:v>
      </x:c>
      <x:c r="I17" s="84">
        <x:v>44406</x:v>
      </x:c>
      <x:c r="J17" s="84">
        <x:v>44407</x:v>
      </x:c>
      <x:c r="W17" s="1" t="s">
        <x:v>837</x:v>
      </x:c>
      <x:c r="Y17" s="1">
        <x:v>0</x:v>
      </x:c>
      <x:c r="Z17" s="1">
        <x:v>0</x:v>
      </x:c>
    </x:row>
  </x:sheetData>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300" verticalDpi="300" copies="1"/>
</x:worksheet>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9" baseType="lpstr">
      <vt:lpstr>Settings</vt:lpstr>
      <vt:lpstr>Help</vt:lpstr>
      <vt:lpstr>Schedule</vt:lpstr>
      <vt:lpstr>Progress</vt:lpstr>
      <vt:lpstr>AnalysisReport</vt:lpstr>
      <vt:lpstr>Calendar</vt:lpstr>
      <vt:lpstr>TranslatedLanguages</vt:lpstr>
      <vt:lpstr>Workload</vt:lpstr>
      <vt:lpstr>ServerData</vt:lpstr>
    </vt:vector>
  </ep:TitlesOfParts>
  <ep:TotalTime>168</ep:TotalTime>
  <ep:AppVersion>12.0300</ep:AppVersion>
</ep:Properties>
</file>

<file path=docProps/core.xml><?xml version="1.0" encoding="utf-8"?>
<cp:coreProperties xmlns:r="http://schemas.openxmlformats.org/officeDocument/2006/relationships" xmlns:cp="http://schemas.openxmlformats.org/package/2006/metadata/core-properties" xmlns:dc="http://purl.org/dc/elements/1.1/" xmlns:dcterms="http://purl.org/dc/terms/" xmlns:dcmitype="http://purl.org/dc/dcmitype/" xmlns:xsi="http://www.w3.org/2001/XMLSchema-instance">
  <cp:lastModifiedBy>dkdld</cp:lastModifiedBy>
  <cp:revision>6</cp:revision>
  <cp:lastPrinted>2021-01-01T13:36:29.000</cp:lastPrinted>
  <dcterms:created xsi:type="dcterms:W3CDTF">2018-02-18T09:45:14.000</dcterms:created>
  <dcterms:modified xsi:type="dcterms:W3CDTF">2021-09-28T14:40:17.802</dcterms:modified>
  <cp:version>1100.0100.01</cp:version>
</cp:coreProperties>
</file>